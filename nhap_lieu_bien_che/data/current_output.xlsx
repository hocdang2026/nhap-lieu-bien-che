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1" activeTab="1" autoFilterDateGrouping="1"/>
  </bookViews>
  <sheets>
    <sheet name="Kangatang" sheetId="1" state="veryHidden" r:id="rId1"/>
    <sheet name="CBCC" sheetId="2" state="visible" r:id="rId2"/>
  </sheets>
  <definedNames>
    <definedName name="_xlnm.Print_Titles" localSheetId="1">'CBCC'!$2:$2</definedName>
    <definedName name="_xlnm.Print_Area" localSheetId="1">'CBCC'!$A$1:$H$86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b val="1"/>
      <sz val="14"/>
    </font>
    <font>
      <name val="Times New Roman"/>
      <family val="1"/>
      <i val="1"/>
      <sz val="14"/>
    </font>
    <font>
      <name val="Times New Roman"/>
      <family val="1"/>
      <color theme="1"/>
      <sz val="14"/>
    </font>
    <font>
      <name val="Times New Roman"/>
      <family val="1"/>
      <sz val="14"/>
    </font>
    <font>
      <name val="Times New Roman"/>
      <family val="1"/>
      <color theme="1"/>
      <sz val="14"/>
    </font>
    <font>
      <name val="Times New Roman"/>
      <family val="1"/>
      <b val="1"/>
      <sz val="12"/>
    </font>
    <font>
      <name val="Times New Roman"/>
      <family val="1"/>
      <i val="1"/>
      <sz val="12"/>
    </font>
    <font>
      <name val="Times New Roman"/>
      <family val="1"/>
      <sz val="12"/>
    </font>
    <font>
      <name val="Times New Roman"/>
      <family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7" fillId="0" borderId="0"/>
    <xf numFmtId="0" fontId="7" fillId="0" borderId="0"/>
  </cellStyleXfs>
  <cellXfs count="32">
    <xf numFmtId="0" fontId="0" fillId="0" borderId="0" pivotButton="0" quotePrefix="0" xfId="0"/>
    <xf numFmtId="3" fontId="6" fillId="2" borderId="0" applyAlignment="1" pivotButton="0" quotePrefix="0" xfId="3">
      <alignment wrapText="1"/>
    </xf>
    <xf numFmtId="3" fontId="6" fillId="2" borderId="0" applyAlignment="1" pivotButton="0" quotePrefix="0" xfId="3">
      <alignment horizontal="center" vertical="center" wrapText="1"/>
    </xf>
    <xf numFmtId="3" fontId="6" fillId="2" borderId="0" applyAlignment="1" pivotButton="0" quotePrefix="0" xfId="3">
      <alignment horizontal="left" wrapText="1"/>
    </xf>
    <xf numFmtId="3" fontId="6" fillId="2" borderId="0" applyAlignment="1" pivotButton="0" quotePrefix="0" xfId="3">
      <alignment vertical="center" wrapText="1"/>
    </xf>
    <xf numFmtId="3" fontId="6" fillId="2" borderId="0" applyAlignment="1" pivotButton="0" quotePrefix="0" xfId="3">
      <alignment horizontal="left" vertical="center" wrapText="1"/>
    </xf>
    <xf numFmtId="3" fontId="9" fillId="2" borderId="1" applyAlignment="1" pivotButton="0" quotePrefix="1" xfId="3">
      <alignment horizontal="center" vertical="center" wrapText="1"/>
    </xf>
    <xf numFmtId="3" fontId="8" fillId="2" borderId="1" applyAlignment="1" pivotButton="0" quotePrefix="0" xfId="3">
      <alignment horizontal="center" vertical="center" wrapText="1"/>
    </xf>
    <xf numFmtId="3" fontId="8" fillId="2" borderId="1" applyAlignment="1" pivotButton="0" quotePrefix="1" xfId="3">
      <alignment horizontal="left" vertical="center" wrapText="1"/>
    </xf>
    <xf numFmtId="3" fontId="8" fillId="2" borderId="1" applyAlignment="1" pivotButton="0" quotePrefix="1" xfId="3">
      <alignment horizontal="center" vertical="center" wrapText="1"/>
    </xf>
    <xf numFmtId="3" fontId="10" fillId="2" borderId="1" applyAlignment="1" pivotButton="0" quotePrefix="0" xfId="3">
      <alignment horizontal="left" vertical="center" wrapText="1"/>
    </xf>
    <xf numFmtId="3" fontId="10" fillId="2" borderId="1" applyAlignment="1" pivotButton="0" quotePrefix="1" xfId="3">
      <alignment horizontal="center" vertical="center" wrapText="1"/>
    </xf>
    <xf numFmtId="3" fontId="10" fillId="2" borderId="1" applyAlignment="1" pivotButton="0" quotePrefix="0" xfId="1">
      <alignment horizontal="left" vertical="center" wrapText="1"/>
    </xf>
    <xf numFmtId="3" fontId="10" fillId="2" borderId="1" applyAlignment="1" pivotButton="0" quotePrefix="0" xfId="0">
      <alignment horizontal="center" vertical="center" wrapText="1"/>
    </xf>
    <xf numFmtId="3" fontId="10" fillId="0" borderId="1" applyAlignment="1" pivotButton="0" quotePrefix="0" xfId="1">
      <alignment horizontal="center" vertical="center" wrapText="1"/>
    </xf>
    <xf numFmtId="3" fontId="8" fillId="2" borderId="1" applyAlignment="1" pivotButton="0" quotePrefix="0" xfId="3">
      <alignment vertical="center" wrapText="1"/>
    </xf>
    <xf numFmtId="3" fontId="9" fillId="2" borderId="1" applyAlignment="1" pivotButton="0" quotePrefix="0" xfId="3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49" fontId="10" fillId="2" borderId="1" applyAlignment="1" pivotButton="0" quotePrefix="0" xfId="1">
      <alignment horizontal="left" vertical="center"/>
    </xf>
    <xf numFmtId="0" fontId="10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left" vertical="center" wrapText="1"/>
    </xf>
    <xf numFmtId="0" fontId="10" fillId="2" borderId="1" applyAlignment="1" pivotButton="0" quotePrefix="0" xfId="1">
      <alignment horizontal="center" vertical="center" wrapText="1"/>
    </xf>
    <xf numFmtId="49" fontId="10" fillId="2" borderId="1" applyAlignment="1" pivotButton="0" quotePrefix="0" xfId="1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3" fontId="10" fillId="2" borderId="1" applyAlignment="1" pivotButton="0" quotePrefix="0" xfId="3">
      <alignment horizontal="center" vertical="center" wrapText="1"/>
    </xf>
    <xf numFmtId="3" fontId="10" fillId="2" borderId="0" applyAlignment="1" pivotButton="0" quotePrefix="0" xfId="3">
      <alignment wrapText="1"/>
    </xf>
    <xf numFmtId="3" fontId="3" fillId="2" borderId="0" applyAlignment="1" pivotButton="0" quotePrefix="0" xfId="3">
      <alignment horizontal="center" vertical="center" wrapText="1"/>
    </xf>
    <xf numFmtId="3" fontId="10" fillId="2" borderId="1" applyAlignment="1" pivotButton="0" quotePrefix="0" xfId="3">
      <alignment vertical="center" wrapText="1"/>
    </xf>
    <xf numFmtId="0" fontId="11" fillId="0" borderId="1" applyAlignment="1" pivotButton="0" quotePrefix="0" xfId="0">
      <alignment vertical="center" wrapText="1"/>
    </xf>
  </cellXfs>
  <cellStyles count="5">
    <cellStyle name="Normal" xfId="0" builtinId="0"/>
    <cellStyle name="Normal 2" xfId="1"/>
    <cellStyle name="Normal 21" xfId="2"/>
    <cellStyle name="Normal 3" xfId="3"/>
    <cellStyle name="Normal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tabSelected="1" zoomScale="115" zoomScaleNormal="115" zoomScaleSheetLayoutView="120" zoomScalePageLayoutView="50" workbookViewId="0">
      <pane ySplit="2" topLeftCell="A81" activePane="bottomLeft" state="frozen"/>
      <selection pane="bottomLeft" activeCell="D84" sqref="D84"/>
    </sheetView>
  </sheetViews>
  <sheetFormatPr baseColWidth="8" defaultColWidth="9.33203125" defaultRowHeight="18"/>
  <cols>
    <col width="7.44140625" customWidth="1" style="2" min="1" max="1"/>
    <col width="33.88671875" customWidth="1" style="4" min="2" max="2"/>
    <col width="11" customWidth="1" style="2" min="3" max="3"/>
    <col width="12.44140625" customWidth="1" style="2" min="4" max="4"/>
    <col width="14.5546875" customWidth="1" style="2" min="5" max="5"/>
    <col width="15.88671875" customWidth="1" style="2" min="6" max="6"/>
    <col width="14.5546875" customWidth="1" style="2" min="7" max="7"/>
    <col width="29" customWidth="1" style="5" min="8" max="8"/>
    <col width="9.33203125" customWidth="1" style="1" min="9" max="234"/>
    <col width="5.33203125" customWidth="1" style="1" min="235" max="235"/>
    <col width="40" customWidth="1" style="1" min="236" max="236"/>
    <col width="4.44140625" customWidth="1" style="1" min="237" max="237"/>
    <col width="42.6640625" customWidth="1" style="1" min="238" max="238"/>
    <col width="10.33203125" customWidth="1" style="1" min="239" max="239"/>
    <col width="8.5546875" customWidth="1" style="1" min="240" max="241"/>
    <col width="13.33203125" customWidth="1" style="1" min="242" max="242"/>
    <col width="7.5546875" customWidth="1" style="1" min="243" max="245"/>
    <col width="13.33203125" customWidth="1" style="1" min="246" max="246"/>
    <col width="9.33203125" customWidth="1" style="1" min="247" max="490"/>
    <col width="5.33203125" customWidth="1" style="1" min="491" max="491"/>
    <col width="40" customWidth="1" style="1" min="492" max="492"/>
    <col width="4.44140625" customWidth="1" style="1" min="493" max="493"/>
    <col width="42.6640625" customWidth="1" style="1" min="494" max="494"/>
    <col width="10.33203125" customWidth="1" style="1" min="495" max="495"/>
    <col width="8.5546875" customWidth="1" style="1" min="496" max="497"/>
    <col width="13.33203125" customWidth="1" style="1" min="498" max="498"/>
    <col width="7.5546875" customWidth="1" style="1" min="499" max="501"/>
    <col width="13.33203125" customWidth="1" style="1" min="502" max="502"/>
    <col width="9.33203125" customWidth="1" style="1" min="503" max="746"/>
    <col width="5.33203125" customWidth="1" style="1" min="747" max="747"/>
    <col width="40" customWidth="1" style="1" min="748" max="748"/>
    <col width="4.44140625" customWidth="1" style="1" min="749" max="749"/>
    <col width="42.6640625" customWidth="1" style="1" min="750" max="750"/>
    <col width="10.33203125" customWidth="1" style="1" min="751" max="751"/>
    <col width="8.5546875" customWidth="1" style="1" min="752" max="753"/>
    <col width="13.33203125" customWidth="1" style="1" min="754" max="754"/>
    <col width="7.5546875" customWidth="1" style="1" min="755" max="757"/>
    <col width="13.33203125" customWidth="1" style="1" min="758" max="758"/>
    <col width="9.33203125" customWidth="1" style="1" min="759" max="1002"/>
    <col width="5.33203125" customWidth="1" style="1" min="1003" max="1003"/>
    <col width="40" customWidth="1" style="1" min="1004" max="1004"/>
    <col width="4.44140625" customWidth="1" style="1" min="1005" max="1005"/>
    <col width="42.6640625" customWidth="1" style="1" min="1006" max="1006"/>
    <col width="10.33203125" customWidth="1" style="1" min="1007" max="1007"/>
    <col width="8.5546875" customWidth="1" style="1" min="1008" max="1009"/>
    <col width="13.33203125" customWidth="1" style="1" min="1010" max="1010"/>
    <col width="7.5546875" customWidth="1" style="1" min="1011" max="1013"/>
    <col width="13.33203125" customWidth="1" style="1" min="1014" max="1014"/>
    <col width="9.33203125" customWidth="1" style="1" min="1015" max="1258"/>
    <col width="5.33203125" customWidth="1" style="1" min="1259" max="1259"/>
    <col width="40" customWidth="1" style="1" min="1260" max="1260"/>
    <col width="4.44140625" customWidth="1" style="1" min="1261" max="1261"/>
    <col width="42.6640625" customWidth="1" style="1" min="1262" max="1262"/>
    <col width="10.33203125" customWidth="1" style="1" min="1263" max="1263"/>
    <col width="8.5546875" customWidth="1" style="1" min="1264" max="1265"/>
    <col width="13.33203125" customWidth="1" style="1" min="1266" max="1266"/>
    <col width="7.5546875" customWidth="1" style="1" min="1267" max="1269"/>
    <col width="13.33203125" customWidth="1" style="1" min="1270" max="1270"/>
    <col width="9.33203125" customWidth="1" style="1" min="1271" max="1514"/>
    <col width="5.33203125" customWidth="1" style="1" min="1515" max="1515"/>
    <col width="40" customWidth="1" style="1" min="1516" max="1516"/>
    <col width="4.44140625" customWidth="1" style="1" min="1517" max="1517"/>
    <col width="42.6640625" customWidth="1" style="1" min="1518" max="1518"/>
    <col width="10.33203125" customWidth="1" style="1" min="1519" max="1519"/>
    <col width="8.5546875" customWidth="1" style="1" min="1520" max="1521"/>
    <col width="13.33203125" customWidth="1" style="1" min="1522" max="1522"/>
    <col width="7.5546875" customWidth="1" style="1" min="1523" max="1525"/>
    <col width="13.33203125" customWidth="1" style="1" min="1526" max="1526"/>
    <col width="9.33203125" customWidth="1" style="1" min="1527" max="1770"/>
    <col width="5.33203125" customWidth="1" style="1" min="1771" max="1771"/>
    <col width="40" customWidth="1" style="1" min="1772" max="1772"/>
    <col width="4.44140625" customWidth="1" style="1" min="1773" max="1773"/>
    <col width="42.6640625" customWidth="1" style="1" min="1774" max="1774"/>
    <col width="10.33203125" customWidth="1" style="1" min="1775" max="1775"/>
    <col width="8.5546875" customWidth="1" style="1" min="1776" max="1777"/>
    <col width="13.33203125" customWidth="1" style="1" min="1778" max="1778"/>
    <col width="7.5546875" customWidth="1" style="1" min="1779" max="1781"/>
    <col width="13.33203125" customWidth="1" style="1" min="1782" max="1782"/>
    <col width="9.33203125" customWidth="1" style="1" min="1783" max="2026"/>
    <col width="5.33203125" customWidth="1" style="1" min="2027" max="2027"/>
    <col width="40" customWidth="1" style="1" min="2028" max="2028"/>
    <col width="4.44140625" customWidth="1" style="1" min="2029" max="2029"/>
    <col width="42.6640625" customWidth="1" style="1" min="2030" max="2030"/>
    <col width="10.33203125" customWidth="1" style="1" min="2031" max="2031"/>
    <col width="8.5546875" customWidth="1" style="1" min="2032" max="2033"/>
    <col width="13.33203125" customWidth="1" style="1" min="2034" max="2034"/>
    <col width="7.5546875" customWidth="1" style="1" min="2035" max="2037"/>
    <col width="13.33203125" customWidth="1" style="1" min="2038" max="2038"/>
    <col width="9.33203125" customWidth="1" style="1" min="2039" max="2282"/>
    <col width="5.33203125" customWidth="1" style="1" min="2283" max="2283"/>
    <col width="40" customWidth="1" style="1" min="2284" max="2284"/>
    <col width="4.44140625" customWidth="1" style="1" min="2285" max="2285"/>
    <col width="42.6640625" customWidth="1" style="1" min="2286" max="2286"/>
    <col width="10.33203125" customWidth="1" style="1" min="2287" max="2287"/>
    <col width="8.5546875" customWidth="1" style="1" min="2288" max="2289"/>
    <col width="13.33203125" customWidth="1" style="1" min="2290" max="2290"/>
    <col width="7.5546875" customWidth="1" style="1" min="2291" max="2293"/>
    <col width="13.33203125" customWidth="1" style="1" min="2294" max="2294"/>
    <col width="9.33203125" customWidth="1" style="1" min="2295" max="2538"/>
    <col width="5.33203125" customWidth="1" style="1" min="2539" max="2539"/>
    <col width="40" customWidth="1" style="1" min="2540" max="2540"/>
    <col width="4.44140625" customWidth="1" style="1" min="2541" max="2541"/>
    <col width="42.6640625" customWidth="1" style="1" min="2542" max="2542"/>
    <col width="10.33203125" customWidth="1" style="1" min="2543" max="2543"/>
    <col width="8.5546875" customWidth="1" style="1" min="2544" max="2545"/>
    <col width="13.33203125" customWidth="1" style="1" min="2546" max="2546"/>
    <col width="7.5546875" customWidth="1" style="1" min="2547" max="2549"/>
    <col width="13.33203125" customWidth="1" style="1" min="2550" max="2550"/>
    <col width="9.33203125" customWidth="1" style="1" min="2551" max="2794"/>
    <col width="5.33203125" customWidth="1" style="1" min="2795" max="2795"/>
    <col width="40" customWidth="1" style="1" min="2796" max="2796"/>
    <col width="4.44140625" customWidth="1" style="1" min="2797" max="2797"/>
    <col width="42.6640625" customWidth="1" style="1" min="2798" max="2798"/>
    <col width="10.33203125" customWidth="1" style="1" min="2799" max="2799"/>
    <col width="8.5546875" customWidth="1" style="1" min="2800" max="2801"/>
    <col width="13.33203125" customWidth="1" style="1" min="2802" max="2802"/>
    <col width="7.5546875" customWidth="1" style="1" min="2803" max="2805"/>
    <col width="13.33203125" customWidth="1" style="1" min="2806" max="2806"/>
    <col width="9.33203125" customWidth="1" style="1" min="2807" max="3050"/>
    <col width="5.33203125" customWidth="1" style="1" min="3051" max="3051"/>
    <col width="40" customWidth="1" style="1" min="3052" max="3052"/>
    <col width="4.44140625" customWidth="1" style="1" min="3053" max="3053"/>
    <col width="42.6640625" customWidth="1" style="1" min="3054" max="3054"/>
    <col width="10.33203125" customWidth="1" style="1" min="3055" max="3055"/>
    <col width="8.5546875" customWidth="1" style="1" min="3056" max="3057"/>
    <col width="13.33203125" customWidth="1" style="1" min="3058" max="3058"/>
    <col width="7.5546875" customWidth="1" style="1" min="3059" max="3061"/>
    <col width="13.33203125" customWidth="1" style="1" min="3062" max="3062"/>
    <col width="9.33203125" customWidth="1" style="1" min="3063" max="3306"/>
    <col width="5.33203125" customWidth="1" style="1" min="3307" max="3307"/>
    <col width="40" customWidth="1" style="1" min="3308" max="3308"/>
    <col width="4.44140625" customWidth="1" style="1" min="3309" max="3309"/>
    <col width="42.6640625" customWidth="1" style="1" min="3310" max="3310"/>
    <col width="10.33203125" customWidth="1" style="1" min="3311" max="3311"/>
    <col width="8.5546875" customWidth="1" style="1" min="3312" max="3313"/>
    <col width="13.33203125" customWidth="1" style="1" min="3314" max="3314"/>
    <col width="7.5546875" customWidth="1" style="1" min="3315" max="3317"/>
    <col width="13.33203125" customWidth="1" style="1" min="3318" max="3318"/>
    <col width="9.33203125" customWidth="1" style="1" min="3319" max="3562"/>
    <col width="5.33203125" customWidth="1" style="1" min="3563" max="3563"/>
    <col width="40" customWidth="1" style="1" min="3564" max="3564"/>
    <col width="4.44140625" customWidth="1" style="1" min="3565" max="3565"/>
    <col width="42.6640625" customWidth="1" style="1" min="3566" max="3566"/>
    <col width="10.33203125" customWidth="1" style="1" min="3567" max="3567"/>
    <col width="8.5546875" customWidth="1" style="1" min="3568" max="3569"/>
    <col width="13.33203125" customWidth="1" style="1" min="3570" max="3570"/>
    <col width="7.5546875" customWidth="1" style="1" min="3571" max="3573"/>
    <col width="13.33203125" customWidth="1" style="1" min="3574" max="3574"/>
    <col width="9.33203125" customWidth="1" style="1" min="3575" max="3818"/>
    <col width="5.33203125" customWidth="1" style="1" min="3819" max="3819"/>
    <col width="40" customWidth="1" style="1" min="3820" max="3820"/>
    <col width="4.44140625" customWidth="1" style="1" min="3821" max="3821"/>
    <col width="42.6640625" customWidth="1" style="1" min="3822" max="3822"/>
    <col width="10.33203125" customWidth="1" style="1" min="3823" max="3823"/>
    <col width="8.5546875" customWidth="1" style="1" min="3824" max="3825"/>
    <col width="13.33203125" customWidth="1" style="1" min="3826" max="3826"/>
    <col width="7.5546875" customWidth="1" style="1" min="3827" max="3829"/>
    <col width="13.33203125" customWidth="1" style="1" min="3830" max="3830"/>
    <col width="9.33203125" customWidth="1" style="1" min="3831" max="4074"/>
    <col width="5.33203125" customWidth="1" style="1" min="4075" max="4075"/>
    <col width="40" customWidth="1" style="1" min="4076" max="4076"/>
    <col width="4.44140625" customWidth="1" style="1" min="4077" max="4077"/>
    <col width="42.6640625" customWidth="1" style="1" min="4078" max="4078"/>
    <col width="10.33203125" customWidth="1" style="1" min="4079" max="4079"/>
    <col width="8.5546875" customWidth="1" style="1" min="4080" max="4081"/>
    <col width="13.33203125" customWidth="1" style="1" min="4082" max="4082"/>
    <col width="7.5546875" customWidth="1" style="1" min="4083" max="4085"/>
    <col width="13.33203125" customWidth="1" style="1" min="4086" max="4086"/>
    <col width="9.33203125" customWidth="1" style="1" min="4087" max="4330"/>
    <col width="5.33203125" customWidth="1" style="1" min="4331" max="4331"/>
    <col width="40" customWidth="1" style="1" min="4332" max="4332"/>
    <col width="4.44140625" customWidth="1" style="1" min="4333" max="4333"/>
    <col width="42.6640625" customWidth="1" style="1" min="4334" max="4334"/>
    <col width="10.33203125" customWidth="1" style="1" min="4335" max="4335"/>
    <col width="8.5546875" customWidth="1" style="1" min="4336" max="4337"/>
    <col width="13.33203125" customWidth="1" style="1" min="4338" max="4338"/>
    <col width="7.5546875" customWidth="1" style="1" min="4339" max="4341"/>
    <col width="13.33203125" customWidth="1" style="1" min="4342" max="4342"/>
    <col width="9.33203125" customWidth="1" style="1" min="4343" max="4586"/>
    <col width="5.33203125" customWidth="1" style="1" min="4587" max="4587"/>
    <col width="40" customWidth="1" style="1" min="4588" max="4588"/>
    <col width="4.44140625" customWidth="1" style="1" min="4589" max="4589"/>
    <col width="42.6640625" customWidth="1" style="1" min="4590" max="4590"/>
    <col width="10.33203125" customWidth="1" style="1" min="4591" max="4591"/>
    <col width="8.5546875" customWidth="1" style="1" min="4592" max="4593"/>
    <col width="13.33203125" customWidth="1" style="1" min="4594" max="4594"/>
    <col width="7.5546875" customWidth="1" style="1" min="4595" max="4597"/>
    <col width="13.33203125" customWidth="1" style="1" min="4598" max="4598"/>
    <col width="9.33203125" customWidth="1" style="1" min="4599" max="4842"/>
    <col width="5.33203125" customWidth="1" style="1" min="4843" max="4843"/>
    <col width="40" customWidth="1" style="1" min="4844" max="4844"/>
    <col width="4.44140625" customWidth="1" style="1" min="4845" max="4845"/>
    <col width="42.6640625" customWidth="1" style="1" min="4846" max="4846"/>
    <col width="10.33203125" customWidth="1" style="1" min="4847" max="4847"/>
    <col width="8.5546875" customWidth="1" style="1" min="4848" max="4849"/>
    <col width="13.33203125" customWidth="1" style="1" min="4850" max="4850"/>
    <col width="7.5546875" customWidth="1" style="1" min="4851" max="4853"/>
    <col width="13.33203125" customWidth="1" style="1" min="4854" max="4854"/>
    <col width="9.33203125" customWidth="1" style="1" min="4855" max="5098"/>
    <col width="5.33203125" customWidth="1" style="1" min="5099" max="5099"/>
    <col width="40" customWidth="1" style="1" min="5100" max="5100"/>
    <col width="4.44140625" customWidth="1" style="1" min="5101" max="5101"/>
    <col width="42.6640625" customWidth="1" style="1" min="5102" max="5102"/>
    <col width="10.33203125" customWidth="1" style="1" min="5103" max="5103"/>
    <col width="8.5546875" customWidth="1" style="1" min="5104" max="5105"/>
    <col width="13.33203125" customWidth="1" style="1" min="5106" max="5106"/>
    <col width="7.5546875" customWidth="1" style="1" min="5107" max="5109"/>
    <col width="13.33203125" customWidth="1" style="1" min="5110" max="5110"/>
    <col width="9.33203125" customWidth="1" style="1" min="5111" max="5354"/>
    <col width="5.33203125" customWidth="1" style="1" min="5355" max="5355"/>
    <col width="40" customWidth="1" style="1" min="5356" max="5356"/>
    <col width="4.44140625" customWidth="1" style="1" min="5357" max="5357"/>
    <col width="42.6640625" customWidth="1" style="1" min="5358" max="5358"/>
    <col width="10.33203125" customWidth="1" style="1" min="5359" max="5359"/>
    <col width="8.5546875" customWidth="1" style="1" min="5360" max="5361"/>
    <col width="13.33203125" customWidth="1" style="1" min="5362" max="5362"/>
    <col width="7.5546875" customWidth="1" style="1" min="5363" max="5365"/>
    <col width="13.33203125" customWidth="1" style="1" min="5366" max="5366"/>
    <col width="9.33203125" customWidth="1" style="1" min="5367" max="5610"/>
    <col width="5.33203125" customWidth="1" style="1" min="5611" max="5611"/>
    <col width="40" customWidth="1" style="1" min="5612" max="5612"/>
    <col width="4.44140625" customWidth="1" style="1" min="5613" max="5613"/>
    <col width="42.6640625" customWidth="1" style="1" min="5614" max="5614"/>
    <col width="10.33203125" customWidth="1" style="1" min="5615" max="5615"/>
    <col width="8.5546875" customWidth="1" style="1" min="5616" max="5617"/>
    <col width="13.33203125" customWidth="1" style="1" min="5618" max="5618"/>
    <col width="7.5546875" customWidth="1" style="1" min="5619" max="5621"/>
    <col width="13.33203125" customWidth="1" style="1" min="5622" max="5622"/>
    <col width="9.33203125" customWidth="1" style="1" min="5623" max="5866"/>
    <col width="5.33203125" customWidth="1" style="1" min="5867" max="5867"/>
    <col width="40" customWidth="1" style="1" min="5868" max="5868"/>
    <col width="4.44140625" customWidth="1" style="1" min="5869" max="5869"/>
    <col width="42.6640625" customWidth="1" style="1" min="5870" max="5870"/>
    <col width="10.33203125" customWidth="1" style="1" min="5871" max="5871"/>
    <col width="8.5546875" customWidth="1" style="1" min="5872" max="5873"/>
    <col width="13.33203125" customWidth="1" style="1" min="5874" max="5874"/>
    <col width="7.5546875" customWidth="1" style="1" min="5875" max="5877"/>
    <col width="13.33203125" customWidth="1" style="1" min="5878" max="5878"/>
    <col width="9.33203125" customWidth="1" style="1" min="5879" max="6122"/>
    <col width="5.33203125" customWidth="1" style="1" min="6123" max="6123"/>
    <col width="40" customWidth="1" style="1" min="6124" max="6124"/>
    <col width="4.44140625" customWidth="1" style="1" min="6125" max="6125"/>
    <col width="42.6640625" customWidth="1" style="1" min="6126" max="6126"/>
    <col width="10.33203125" customWidth="1" style="1" min="6127" max="6127"/>
    <col width="8.5546875" customWidth="1" style="1" min="6128" max="6129"/>
    <col width="13.33203125" customWidth="1" style="1" min="6130" max="6130"/>
    <col width="7.5546875" customWidth="1" style="1" min="6131" max="6133"/>
    <col width="13.33203125" customWidth="1" style="1" min="6134" max="6134"/>
    <col width="9.33203125" customWidth="1" style="1" min="6135" max="6378"/>
    <col width="5.33203125" customWidth="1" style="1" min="6379" max="6379"/>
    <col width="40" customWidth="1" style="1" min="6380" max="6380"/>
    <col width="4.44140625" customWidth="1" style="1" min="6381" max="6381"/>
    <col width="42.6640625" customWidth="1" style="1" min="6382" max="6382"/>
    <col width="10.33203125" customWidth="1" style="1" min="6383" max="6383"/>
    <col width="8.5546875" customWidth="1" style="1" min="6384" max="6385"/>
    <col width="13.33203125" customWidth="1" style="1" min="6386" max="6386"/>
    <col width="7.5546875" customWidth="1" style="1" min="6387" max="6389"/>
    <col width="13.33203125" customWidth="1" style="1" min="6390" max="6390"/>
    <col width="9.33203125" customWidth="1" style="1" min="6391" max="6634"/>
    <col width="5.33203125" customWidth="1" style="1" min="6635" max="6635"/>
    <col width="40" customWidth="1" style="1" min="6636" max="6636"/>
    <col width="4.44140625" customWidth="1" style="1" min="6637" max="6637"/>
    <col width="42.6640625" customWidth="1" style="1" min="6638" max="6638"/>
    <col width="10.33203125" customWidth="1" style="1" min="6639" max="6639"/>
    <col width="8.5546875" customWidth="1" style="1" min="6640" max="6641"/>
    <col width="13.33203125" customWidth="1" style="1" min="6642" max="6642"/>
    <col width="7.5546875" customWidth="1" style="1" min="6643" max="6645"/>
    <col width="13.33203125" customWidth="1" style="1" min="6646" max="6646"/>
    <col width="9.33203125" customWidth="1" style="1" min="6647" max="6890"/>
    <col width="5.33203125" customWidth="1" style="1" min="6891" max="6891"/>
    <col width="40" customWidth="1" style="1" min="6892" max="6892"/>
    <col width="4.44140625" customWidth="1" style="1" min="6893" max="6893"/>
    <col width="42.6640625" customWidth="1" style="1" min="6894" max="6894"/>
    <col width="10.33203125" customWidth="1" style="1" min="6895" max="6895"/>
    <col width="8.5546875" customWidth="1" style="1" min="6896" max="6897"/>
    <col width="13.33203125" customWidth="1" style="1" min="6898" max="6898"/>
    <col width="7.5546875" customWidth="1" style="1" min="6899" max="6901"/>
    <col width="13.33203125" customWidth="1" style="1" min="6902" max="6902"/>
    <col width="9.33203125" customWidth="1" style="1" min="6903" max="7146"/>
    <col width="5.33203125" customWidth="1" style="1" min="7147" max="7147"/>
    <col width="40" customWidth="1" style="1" min="7148" max="7148"/>
    <col width="4.44140625" customWidth="1" style="1" min="7149" max="7149"/>
    <col width="42.6640625" customWidth="1" style="1" min="7150" max="7150"/>
    <col width="10.33203125" customWidth="1" style="1" min="7151" max="7151"/>
    <col width="8.5546875" customWidth="1" style="1" min="7152" max="7153"/>
    <col width="13.33203125" customWidth="1" style="1" min="7154" max="7154"/>
    <col width="7.5546875" customWidth="1" style="1" min="7155" max="7157"/>
    <col width="13.33203125" customWidth="1" style="1" min="7158" max="7158"/>
    <col width="9.33203125" customWidth="1" style="1" min="7159" max="7402"/>
    <col width="5.33203125" customWidth="1" style="1" min="7403" max="7403"/>
    <col width="40" customWidth="1" style="1" min="7404" max="7404"/>
    <col width="4.44140625" customWidth="1" style="1" min="7405" max="7405"/>
    <col width="42.6640625" customWidth="1" style="1" min="7406" max="7406"/>
    <col width="10.33203125" customWidth="1" style="1" min="7407" max="7407"/>
    <col width="8.5546875" customWidth="1" style="1" min="7408" max="7409"/>
    <col width="13.33203125" customWidth="1" style="1" min="7410" max="7410"/>
    <col width="7.5546875" customWidth="1" style="1" min="7411" max="7413"/>
    <col width="13.33203125" customWidth="1" style="1" min="7414" max="7414"/>
    <col width="9.33203125" customWidth="1" style="1" min="7415" max="7658"/>
    <col width="5.33203125" customWidth="1" style="1" min="7659" max="7659"/>
    <col width="40" customWidth="1" style="1" min="7660" max="7660"/>
    <col width="4.44140625" customWidth="1" style="1" min="7661" max="7661"/>
    <col width="42.6640625" customWidth="1" style="1" min="7662" max="7662"/>
    <col width="10.33203125" customWidth="1" style="1" min="7663" max="7663"/>
    <col width="8.5546875" customWidth="1" style="1" min="7664" max="7665"/>
    <col width="13.33203125" customWidth="1" style="1" min="7666" max="7666"/>
    <col width="7.5546875" customWidth="1" style="1" min="7667" max="7669"/>
    <col width="13.33203125" customWidth="1" style="1" min="7670" max="7670"/>
    <col width="9.33203125" customWidth="1" style="1" min="7671" max="7914"/>
    <col width="5.33203125" customWidth="1" style="1" min="7915" max="7915"/>
    <col width="40" customWidth="1" style="1" min="7916" max="7916"/>
    <col width="4.44140625" customWidth="1" style="1" min="7917" max="7917"/>
    <col width="42.6640625" customWidth="1" style="1" min="7918" max="7918"/>
    <col width="10.33203125" customWidth="1" style="1" min="7919" max="7919"/>
    <col width="8.5546875" customWidth="1" style="1" min="7920" max="7921"/>
    <col width="13.33203125" customWidth="1" style="1" min="7922" max="7922"/>
    <col width="7.5546875" customWidth="1" style="1" min="7923" max="7925"/>
    <col width="13.33203125" customWidth="1" style="1" min="7926" max="7926"/>
    <col width="9.33203125" customWidth="1" style="1" min="7927" max="8170"/>
    <col width="5.33203125" customWidth="1" style="1" min="8171" max="8171"/>
    <col width="40" customWidth="1" style="1" min="8172" max="8172"/>
    <col width="4.44140625" customWidth="1" style="1" min="8173" max="8173"/>
    <col width="42.6640625" customWidth="1" style="1" min="8174" max="8174"/>
    <col width="10.33203125" customWidth="1" style="1" min="8175" max="8175"/>
    <col width="8.5546875" customWidth="1" style="1" min="8176" max="8177"/>
    <col width="13.33203125" customWidth="1" style="1" min="8178" max="8178"/>
    <col width="7.5546875" customWidth="1" style="1" min="8179" max="8181"/>
    <col width="13.33203125" customWidth="1" style="1" min="8182" max="8182"/>
    <col width="9.33203125" customWidth="1" style="1" min="8183" max="8426"/>
    <col width="5.33203125" customWidth="1" style="1" min="8427" max="8427"/>
    <col width="40" customWidth="1" style="1" min="8428" max="8428"/>
    <col width="4.44140625" customWidth="1" style="1" min="8429" max="8429"/>
    <col width="42.6640625" customWidth="1" style="1" min="8430" max="8430"/>
    <col width="10.33203125" customWidth="1" style="1" min="8431" max="8431"/>
    <col width="8.5546875" customWidth="1" style="1" min="8432" max="8433"/>
    <col width="13.33203125" customWidth="1" style="1" min="8434" max="8434"/>
    <col width="7.5546875" customWidth="1" style="1" min="8435" max="8437"/>
    <col width="13.33203125" customWidth="1" style="1" min="8438" max="8438"/>
    <col width="9.33203125" customWidth="1" style="1" min="8439" max="8682"/>
    <col width="5.33203125" customWidth="1" style="1" min="8683" max="8683"/>
    <col width="40" customWidth="1" style="1" min="8684" max="8684"/>
    <col width="4.44140625" customWidth="1" style="1" min="8685" max="8685"/>
    <col width="42.6640625" customWidth="1" style="1" min="8686" max="8686"/>
    <col width="10.33203125" customWidth="1" style="1" min="8687" max="8687"/>
    <col width="8.5546875" customWidth="1" style="1" min="8688" max="8689"/>
    <col width="13.33203125" customWidth="1" style="1" min="8690" max="8690"/>
    <col width="7.5546875" customWidth="1" style="1" min="8691" max="8693"/>
    <col width="13.33203125" customWidth="1" style="1" min="8694" max="8694"/>
    <col width="9.33203125" customWidth="1" style="1" min="8695" max="8938"/>
    <col width="5.33203125" customWidth="1" style="1" min="8939" max="8939"/>
    <col width="40" customWidth="1" style="1" min="8940" max="8940"/>
    <col width="4.44140625" customWidth="1" style="1" min="8941" max="8941"/>
    <col width="42.6640625" customWidth="1" style="1" min="8942" max="8942"/>
    <col width="10.33203125" customWidth="1" style="1" min="8943" max="8943"/>
    <col width="8.5546875" customWidth="1" style="1" min="8944" max="8945"/>
    <col width="13.33203125" customWidth="1" style="1" min="8946" max="8946"/>
    <col width="7.5546875" customWidth="1" style="1" min="8947" max="8949"/>
    <col width="13.33203125" customWidth="1" style="1" min="8950" max="8950"/>
    <col width="9.33203125" customWidth="1" style="1" min="8951" max="9194"/>
    <col width="5.33203125" customWidth="1" style="1" min="9195" max="9195"/>
    <col width="40" customWidth="1" style="1" min="9196" max="9196"/>
    <col width="4.44140625" customWidth="1" style="1" min="9197" max="9197"/>
    <col width="42.6640625" customWidth="1" style="1" min="9198" max="9198"/>
    <col width="10.33203125" customWidth="1" style="1" min="9199" max="9199"/>
    <col width="8.5546875" customWidth="1" style="1" min="9200" max="9201"/>
    <col width="13.33203125" customWidth="1" style="1" min="9202" max="9202"/>
    <col width="7.5546875" customWidth="1" style="1" min="9203" max="9205"/>
    <col width="13.33203125" customWidth="1" style="1" min="9206" max="9206"/>
    <col width="9.33203125" customWidth="1" style="1" min="9207" max="9450"/>
    <col width="5.33203125" customWidth="1" style="1" min="9451" max="9451"/>
    <col width="40" customWidth="1" style="1" min="9452" max="9452"/>
    <col width="4.44140625" customWidth="1" style="1" min="9453" max="9453"/>
    <col width="42.6640625" customWidth="1" style="1" min="9454" max="9454"/>
    <col width="10.33203125" customWidth="1" style="1" min="9455" max="9455"/>
    <col width="8.5546875" customWidth="1" style="1" min="9456" max="9457"/>
    <col width="13.33203125" customWidth="1" style="1" min="9458" max="9458"/>
    <col width="7.5546875" customWidth="1" style="1" min="9459" max="9461"/>
    <col width="13.33203125" customWidth="1" style="1" min="9462" max="9462"/>
    <col width="9.33203125" customWidth="1" style="1" min="9463" max="9706"/>
    <col width="5.33203125" customWidth="1" style="1" min="9707" max="9707"/>
    <col width="40" customWidth="1" style="1" min="9708" max="9708"/>
    <col width="4.44140625" customWidth="1" style="1" min="9709" max="9709"/>
    <col width="42.6640625" customWidth="1" style="1" min="9710" max="9710"/>
    <col width="10.33203125" customWidth="1" style="1" min="9711" max="9711"/>
    <col width="8.5546875" customWidth="1" style="1" min="9712" max="9713"/>
    <col width="13.33203125" customWidth="1" style="1" min="9714" max="9714"/>
    <col width="7.5546875" customWidth="1" style="1" min="9715" max="9717"/>
    <col width="13.33203125" customWidth="1" style="1" min="9718" max="9718"/>
    <col width="9.33203125" customWidth="1" style="1" min="9719" max="9962"/>
    <col width="5.33203125" customWidth="1" style="1" min="9963" max="9963"/>
    <col width="40" customWidth="1" style="1" min="9964" max="9964"/>
    <col width="4.44140625" customWidth="1" style="1" min="9965" max="9965"/>
    <col width="42.6640625" customWidth="1" style="1" min="9966" max="9966"/>
    <col width="10.33203125" customWidth="1" style="1" min="9967" max="9967"/>
    <col width="8.5546875" customWidth="1" style="1" min="9968" max="9969"/>
    <col width="13.33203125" customWidth="1" style="1" min="9970" max="9970"/>
    <col width="7.5546875" customWidth="1" style="1" min="9971" max="9973"/>
    <col width="13.33203125" customWidth="1" style="1" min="9974" max="9974"/>
    <col width="9.33203125" customWidth="1" style="1" min="9975" max="10218"/>
    <col width="5.33203125" customWidth="1" style="1" min="10219" max="10219"/>
    <col width="40" customWidth="1" style="1" min="10220" max="10220"/>
    <col width="4.44140625" customWidth="1" style="1" min="10221" max="10221"/>
    <col width="42.6640625" customWidth="1" style="1" min="10222" max="10222"/>
    <col width="10.33203125" customWidth="1" style="1" min="10223" max="10223"/>
    <col width="8.5546875" customWidth="1" style="1" min="10224" max="10225"/>
    <col width="13.33203125" customWidth="1" style="1" min="10226" max="10226"/>
    <col width="7.5546875" customWidth="1" style="1" min="10227" max="10229"/>
    <col width="13.33203125" customWidth="1" style="1" min="10230" max="10230"/>
    <col width="9.33203125" customWidth="1" style="1" min="10231" max="10474"/>
    <col width="5.33203125" customWidth="1" style="1" min="10475" max="10475"/>
    <col width="40" customWidth="1" style="1" min="10476" max="10476"/>
    <col width="4.44140625" customWidth="1" style="1" min="10477" max="10477"/>
    <col width="42.6640625" customWidth="1" style="1" min="10478" max="10478"/>
    <col width="10.33203125" customWidth="1" style="1" min="10479" max="10479"/>
    <col width="8.5546875" customWidth="1" style="1" min="10480" max="10481"/>
    <col width="13.33203125" customWidth="1" style="1" min="10482" max="10482"/>
    <col width="7.5546875" customWidth="1" style="1" min="10483" max="10485"/>
    <col width="13.33203125" customWidth="1" style="1" min="10486" max="10486"/>
    <col width="9.33203125" customWidth="1" style="1" min="10487" max="10730"/>
    <col width="5.33203125" customWidth="1" style="1" min="10731" max="10731"/>
    <col width="40" customWidth="1" style="1" min="10732" max="10732"/>
    <col width="4.44140625" customWidth="1" style="1" min="10733" max="10733"/>
    <col width="42.6640625" customWidth="1" style="1" min="10734" max="10734"/>
    <col width="10.33203125" customWidth="1" style="1" min="10735" max="10735"/>
    <col width="8.5546875" customWidth="1" style="1" min="10736" max="10737"/>
    <col width="13.33203125" customWidth="1" style="1" min="10738" max="10738"/>
    <col width="7.5546875" customWidth="1" style="1" min="10739" max="10741"/>
    <col width="13.33203125" customWidth="1" style="1" min="10742" max="10742"/>
    <col width="9.33203125" customWidth="1" style="1" min="10743" max="10986"/>
    <col width="5.33203125" customWidth="1" style="1" min="10987" max="10987"/>
    <col width="40" customWidth="1" style="1" min="10988" max="10988"/>
    <col width="4.44140625" customWidth="1" style="1" min="10989" max="10989"/>
    <col width="42.6640625" customWidth="1" style="1" min="10990" max="10990"/>
    <col width="10.33203125" customWidth="1" style="1" min="10991" max="10991"/>
    <col width="8.5546875" customWidth="1" style="1" min="10992" max="10993"/>
    <col width="13.33203125" customWidth="1" style="1" min="10994" max="10994"/>
    <col width="7.5546875" customWidth="1" style="1" min="10995" max="10997"/>
    <col width="13.33203125" customWidth="1" style="1" min="10998" max="10998"/>
    <col width="9.33203125" customWidth="1" style="1" min="10999" max="11242"/>
    <col width="5.33203125" customWidth="1" style="1" min="11243" max="11243"/>
    <col width="40" customWidth="1" style="1" min="11244" max="11244"/>
    <col width="4.44140625" customWidth="1" style="1" min="11245" max="11245"/>
    <col width="42.6640625" customWidth="1" style="1" min="11246" max="11246"/>
    <col width="10.33203125" customWidth="1" style="1" min="11247" max="11247"/>
    <col width="8.5546875" customWidth="1" style="1" min="11248" max="11249"/>
    <col width="13.33203125" customWidth="1" style="1" min="11250" max="11250"/>
    <col width="7.5546875" customWidth="1" style="1" min="11251" max="11253"/>
    <col width="13.33203125" customWidth="1" style="1" min="11254" max="11254"/>
    <col width="9.33203125" customWidth="1" style="1" min="11255" max="11498"/>
    <col width="5.33203125" customWidth="1" style="1" min="11499" max="11499"/>
    <col width="40" customWidth="1" style="1" min="11500" max="11500"/>
    <col width="4.44140625" customWidth="1" style="1" min="11501" max="11501"/>
    <col width="42.6640625" customWidth="1" style="1" min="11502" max="11502"/>
    <col width="10.33203125" customWidth="1" style="1" min="11503" max="11503"/>
    <col width="8.5546875" customWidth="1" style="1" min="11504" max="11505"/>
    <col width="13.33203125" customWidth="1" style="1" min="11506" max="11506"/>
    <col width="7.5546875" customWidth="1" style="1" min="11507" max="11509"/>
    <col width="13.33203125" customWidth="1" style="1" min="11510" max="11510"/>
    <col width="9.33203125" customWidth="1" style="1" min="11511" max="11754"/>
    <col width="5.33203125" customWidth="1" style="1" min="11755" max="11755"/>
    <col width="40" customWidth="1" style="1" min="11756" max="11756"/>
    <col width="4.44140625" customWidth="1" style="1" min="11757" max="11757"/>
    <col width="42.6640625" customWidth="1" style="1" min="11758" max="11758"/>
    <col width="10.33203125" customWidth="1" style="1" min="11759" max="11759"/>
    <col width="8.5546875" customWidth="1" style="1" min="11760" max="11761"/>
    <col width="13.33203125" customWidth="1" style="1" min="11762" max="11762"/>
    <col width="7.5546875" customWidth="1" style="1" min="11763" max="11765"/>
    <col width="13.33203125" customWidth="1" style="1" min="11766" max="11766"/>
    <col width="9.33203125" customWidth="1" style="1" min="11767" max="12010"/>
    <col width="5.33203125" customWidth="1" style="1" min="12011" max="12011"/>
    <col width="40" customWidth="1" style="1" min="12012" max="12012"/>
    <col width="4.44140625" customWidth="1" style="1" min="12013" max="12013"/>
    <col width="42.6640625" customWidth="1" style="1" min="12014" max="12014"/>
    <col width="10.33203125" customWidth="1" style="1" min="12015" max="12015"/>
    <col width="8.5546875" customWidth="1" style="1" min="12016" max="12017"/>
    <col width="13.33203125" customWidth="1" style="1" min="12018" max="12018"/>
    <col width="7.5546875" customWidth="1" style="1" min="12019" max="12021"/>
    <col width="13.33203125" customWidth="1" style="1" min="12022" max="12022"/>
    <col width="9.33203125" customWidth="1" style="1" min="12023" max="12266"/>
    <col width="5.33203125" customWidth="1" style="1" min="12267" max="12267"/>
    <col width="40" customWidth="1" style="1" min="12268" max="12268"/>
    <col width="4.44140625" customWidth="1" style="1" min="12269" max="12269"/>
    <col width="42.6640625" customWidth="1" style="1" min="12270" max="12270"/>
    <col width="10.33203125" customWidth="1" style="1" min="12271" max="12271"/>
    <col width="8.5546875" customWidth="1" style="1" min="12272" max="12273"/>
    <col width="13.33203125" customWidth="1" style="1" min="12274" max="12274"/>
    <col width="7.5546875" customWidth="1" style="1" min="12275" max="12277"/>
    <col width="13.33203125" customWidth="1" style="1" min="12278" max="12278"/>
    <col width="9.33203125" customWidth="1" style="1" min="12279" max="12522"/>
    <col width="5.33203125" customWidth="1" style="1" min="12523" max="12523"/>
    <col width="40" customWidth="1" style="1" min="12524" max="12524"/>
    <col width="4.44140625" customWidth="1" style="1" min="12525" max="12525"/>
    <col width="42.6640625" customWidth="1" style="1" min="12526" max="12526"/>
    <col width="10.33203125" customWidth="1" style="1" min="12527" max="12527"/>
    <col width="8.5546875" customWidth="1" style="1" min="12528" max="12529"/>
    <col width="13.33203125" customWidth="1" style="1" min="12530" max="12530"/>
    <col width="7.5546875" customWidth="1" style="1" min="12531" max="12533"/>
    <col width="13.33203125" customWidth="1" style="1" min="12534" max="12534"/>
    <col width="9.33203125" customWidth="1" style="1" min="12535" max="12778"/>
    <col width="5.33203125" customWidth="1" style="1" min="12779" max="12779"/>
    <col width="40" customWidth="1" style="1" min="12780" max="12780"/>
    <col width="4.44140625" customWidth="1" style="1" min="12781" max="12781"/>
    <col width="42.6640625" customWidth="1" style="1" min="12782" max="12782"/>
    <col width="10.33203125" customWidth="1" style="1" min="12783" max="12783"/>
    <col width="8.5546875" customWidth="1" style="1" min="12784" max="12785"/>
    <col width="13.33203125" customWidth="1" style="1" min="12786" max="12786"/>
    <col width="7.5546875" customWidth="1" style="1" min="12787" max="12789"/>
    <col width="13.33203125" customWidth="1" style="1" min="12790" max="12790"/>
    <col width="9.33203125" customWidth="1" style="1" min="12791" max="13034"/>
    <col width="5.33203125" customWidth="1" style="1" min="13035" max="13035"/>
    <col width="40" customWidth="1" style="1" min="13036" max="13036"/>
    <col width="4.44140625" customWidth="1" style="1" min="13037" max="13037"/>
    <col width="42.6640625" customWidth="1" style="1" min="13038" max="13038"/>
    <col width="10.33203125" customWidth="1" style="1" min="13039" max="13039"/>
    <col width="8.5546875" customWidth="1" style="1" min="13040" max="13041"/>
    <col width="13.33203125" customWidth="1" style="1" min="13042" max="13042"/>
    <col width="7.5546875" customWidth="1" style="1" min="13043" max="13045"/>
    <col width="13.33203125" customWidth="1" style="1" min="13046" max="13046"/>
    <col width="9.33203125" customWidth="1" style="1" min="13047" max="13290"/>
    <col width="5.33203125" customWidth="1" style="1" min="13291" max="13291"/>
    <col width="40" customWidth="1" style="1" min="13292" max="13292"/>
    <col width="4.44140625" customWidth="1" style="1" min="13293" max="13293"/>
    <col width="42.6640625" customWidth="1" style="1" min="13294" max="13294"/>
    <col width="10.33203125" customWidth="1" style="1" min="13295" max="13295"/>
    <col width="8.5546875" customWidth="1" style="1" min="13296" max="13297"/>
    <col width="13.33203125" customWidth="1" style="1" min="13298" max="13298"/>
    <col width="7.5546875" customWidth="1" style="1" min="13299" max="13301"/>
    <col width="13.33203125" customWidth="1" style="1" min="13302" max="13302"/>
    <col width="9.33203125" customWidth="1" style="1" min="13303" max="13546"/>
    <col width="5.33203125" customWidth="1" style="1" min="13547" max="13547"/>
    <col width="40" customWidth="1" style="1" min="13548" max="13548"/>
    <col width="4.44140625" customWidth="1" style="1" min="13549" max="13549"/>
    <col width="42.6640625" customWidth="1" style="1" min="13550" max="13550"/>
    <col width="10.33203125" customWidth="1" style="1" min="13551" max="13551"/>
    <col width="8.5546875" customWidth="1" style="1" min="13552" max="13553"/>
    <col width="13.33203125" customWidth="1" style="1" min="13554" max="13554"/>
    <col width="7.5546875" customWidth="1" style="1" min="13555" max="13557"/>
    <col width="13.33203125" customWidth="1" style="1" min="13558" max="13558"/>
    <col width="9.33203125" customWidth="1" style="1" min="13559" max="13802"/>
    <col width="5.33203125" customWidth="1" style="1" min="13803" max="13803"/>
    <col width="40" customWidth="1" style="1" min="13804" max="13804"/>
    <col width="4.44140625" customWidth="1" style="1" min="13805" max="13805"/>
    <col width="42.6640625" customWidth="1" style="1" min="13806" max="13806"/>
    <col width="10.33203125" customWidth="1" style="1" min="13807" max="13807"/>
    <col width="8.5546875" customWidth="1" style="1" min="13808" max="13809"/>
    <col width="13.33203125" customWidth="1" style="1" min="13810" max="13810"/>
    <col width="7.5546875" customWidth="1" style="1" min="13811" max="13813"/>
    <col width="13.33203125" customWidth="1" style="1" min="13814" max="13814"/>
    <col width="9.33203125" customWidth="1" style="1" min="13815" max="14058"/>
    <col width="5.33203125" customWidth="1" style="1" min="14059" max="14059"/>
    <col width="40" customWidth="1" style="1" min="14060" max="14060"/>
    <col width="4.44140625" customWidth="1" style="1" min="14061" max="14061"/>
    <col width="42.6640625" customWidth="1" style="1" min="14062" max="14062"/>
    <col width="10.33203125" customWidth="1" style="1" min="14063" max="14063"/>
    <col width="8.5546875" customWidth="1" style="1" min="14064" max="14065"/>
    <col width="13.33203125" customWidth="1" style="1" min="14066" max="14066"/>
    <col width="7.5546875" customWidth="1" style="1" min="14067" max="14069"/>
    <col width="13.33203125" customWidth="1" style="1" min="14070" max="14070"/>
    <col width="9.33203125" customWidth="1" style="1" min="14071" max="14314"/>
    <col width="5.33203125" customWidth="1" style="1" min="14315" max="14315"/>
    <col width="40" customWidth="1" style="1" min="14316" max="14316"/>
    <col width="4.44140625" customWidth="1" style="1" min="14317" max="14317"/>
    <col width="42.6640625" customWidth="1" style="1" min="14318" max="14318"/>
    <col width="10.33203125" customWidth="1" style="1" min="14319" max="14319"/>
    <col width="8.5546875" customWidth="1" style="1" min="14320" max="14321"/>
    <col width="13.33203125" customWidth="1" style="1" min="14322" max="14322"/>
    <col width="7.5546875" customWidth="1" style="1" min="14323" max="14325"/>
    <col width="13.33203125" customWidth="1" style="1" min="14326" max="14326"/>
    <col width="9.33203125" customWidth="1" style="1" min="14327" max="14570"/>
    <col width="5.33203125" customWidth="1" style="1" min="14571" max="14571"/>
    <col width="40" customWidth="1" style="1" min="14572" max="14572"/>
    <col width="4.44140625" customWidth="1" style="1" min="14573" max="14573"/>
    <col width="42.6640625" customWidth="1" style="1" min="14574" max="14574"/>
    <col width="10.33203125" customWidth="1" style="1" min="14575" max="14575"/>
    <col width="8.5546875" customWidth="1" style="1" min="14576" max="14577"/>
    <col width="13.33203125" customWidth="1" style="1" min="14578" max="14578"/>
    <col width="7.5546875" customWidth="1" style="1" min="14579" max="14581"/>
    <col width="13.33203125" customWidth="1" style="1" min="14582" max="14582"/>
    <col width="9.33203125" customWidth="1" style="1" min="14583" max="14826"/>
    <col width="5.33203125" customWidth="1" style="1" min="14827" max="14827"/>
    <col width="40" customWidth="1" style="1" min="14828" max="14828"/>
    <col width="4.44140625" customWidth="1" style="1" min="14829" max="14829"/>
    <col width="42.6640625" customWidth="1" style="1" min="14830" max="14830"/>
    <col width="10.33203125" customWidth="1" style="1" min="14831" max="14831"/>
    <col width="8.5546875" customWidth="1" style="1" min="14832" max="14833"/>
    <col width="13.33203125" customWidth="1" style="1" min="14834" max="14834"/>
    <col width="7.5546875" customWidth="1" style="1" min="14835" max="14837"/>
    <col width="13.33203125" customWidth="1" style="1" min="14838" max="14838"/>
    <col width="9.33203125" customWidth="1" style="1" min="14839" max="15082"/>
    <col width="5.33203125" customWidth="1" style="1" min="15083" max="15083"/>
    <col width="40" customWidth="1" style="1" min="15084" max="15084"/>
    <col width="4.44140625" customWidth="1" style="1" min="15085" max="15085"/>
    <col width="42.6640625" customWidth="1" style="1" min="15086" max="15086"/>
    <col width="10.33203125" customWidth="1" style="1" min="15087" max="15087"/>
    <col width="8.5546875" customWidth="1" style="1" min="15088" max="15089"/>
    <col width="13.33203125" customWidth="1" style="1" min="15090" max="15090"/>
    <col width="7.5546875" customWidth="1" style="1" min="15091" max="15093"/>
    <col width="13.33203125" customWidth="1" style="1" min="15094" max="15094"/>
    <col width="9.33203125" customWidth="1" style="1" min="15095" max="15338"/>
    <col width="5.33203125" customWidth="1" style="1" min="15339" max="15339"/>
    <col width="40" customWidth="1" style="1" min="15340" max="15340"/>
    <col width="4.44140625" customWidth="1" style="1" min="15341" max="15341"/>
    <col width="42.6640625" customWidth="1" style="1" min="15342" max="15342"/>
    <col width="10.33203125" customWidth="1" style="1" min="15343" max="15343"/>
    <col width="8.5546875" customWidth="1" style="1" min="15344" max="15345"/>
    <col width="13.33203125" customWidth="1" style="1" min="15346" max="15346"/>
    <col width="7.5546875" customWidth="1" style="1" min="15347" max="15349"/>
    <col width="13.33203125" customWidth="1" style="1" min="15350" max="15350"/>
    <col width="9.33203125" customWidth="1" style="1" min="15351" max="15594"/>
    <col width="5.33203125" customWidth="1" style="1" min="15595" max="15595"/>
    <col width="40" customWidth="1" style="1" min="15596" max="15596"/>
    <col width="4.44140625" customWidth="1" style="1" min="15597" max="15597"/>
    <col width="42.6640625" customWidth="1" style="1" min="15598" max="15598"/>
    <col width="10.33203125" customWidth="1" style="1" min="15599" max="15599"/>
    <col width="8.5546875" customWidth="1" style="1" min="15600" max="15601"/>
    <col width="13.33203125" customWidth="1" style="1" min="15602" max="15602"/>
    <col width="7.5546875" customWidth="1" style="1" min="15603" max="15605"/>
    <col width="13.33203125" customWidth="1" style="1" min="15606" max="15606"/>
    <col width="9.33203125" customWidth="1" style="1" min="15607" max="15850"/>
    <col width="5.33203125" customWidth="1" style="1" min="15851" max="15851"/>
    <col width="40" customWidth="1" style="1" min="15852" max="15852"/>
    <col width="4.44140625" customWidth="1" style="1" min="15853" max="15853"/>
    <col width="42.6640625" customWidth="1" style="1" min="15854" max="15854"/>
    <col width="10.33203125" customWidth="1" style="1" min="15855" max="15855"/>
    <col width="8.5546875" customWidth="1" style="1" min="15856" max="15857"/>
    <col width="13.33203125" customWidth="1" style="1" min="15858" max="15858"/>
    <col width="7.5546875" customWidth="1" style="1" min="15859" max="15861"/>
    <col width="13.33203125" customWidth="1" style="1" min="15862" max="15862"/>
    <col width="9.33203125" customWidth="1" style="1" min="15863" max="16106"/>
    <col width="5.33203125" customWidth="1" style="1" min="16107" max="16107"/>
    <col width="40" customWidth="1" style="1" min="16108" max="16108"/>
    <col width="4.44140625" customWidth="1" style="1" min="16109" max="16109"/>
    <col width="42.6640625" customWidth="1" style="1" min="16110" max="16110"/>
    <col width="10.33203125" customWidth="1" style="1" min="16111" max="16111"/>
    <col width="8.5546875" customWidth="1" style="1" min="16112" max="16113"/>
    <col width="13.33203125" customWidth="1" style="1" min="16114" max="16114"/>
    <col width="7.5546875" customWidth="1" style="1" min="16115" max="16117"/>
    <col width="13.33203125" customWidth="1" style="1" min="16118" max="16118"/>
    <col width="9.33203125" customWidth="1" style="1" min="16119" max="16384"/>
  </cols>
  <sheetData>
    <row r="1" ht="43.5" customHeight="1">
      <c r="A1" s="29" t="inlineStr">
        <is>
          <t>THUYẾT MINH BIÊN CHẾ CÁN BỘ, CÔNG CHỨC KHỐI CHÍNH QUYỀN TỈNH CÀ MAU NĂM 2026
(Kèm theo Tờ trình số         /TTr-UBND ngày     tháng     năm 2026 của Ủy ban nhân dân tỉnh Cà Mau)</t>
        </is>
      </c>
    </row>
    <row r="2" ht="78" customHeight="1">
      <c r="A2" s="7" t="inlineStr">
        <is>
          <t>Số
TT</t>
        </is>
      </c>
      <c r="B2" s="7" t="inlineStr">
        <is>
          <t>Tên cơ quan, tổ chức</t>
        </is>
      </c>
      <c r="C2" s="7" t="inlineStr">
        <is>
          <t>Biên chế tạm giao năm 2026</t>
        </is>
      </c>
      <c r="D2" s="7" t="inlineStr">
        <is>
          <t>Biên chế có mặt tính đến ngày 15/6/2026</t>
        </is>
      </c>
      <c r="E2" s="7" t="inlineStr">
        <is>
          <t>Biên chế giao năm 2026</t>
        </is>
      </c>
      <c r="F2" s="7" t="inlineStr">
        <is>
          <t>Biên chế giao năm 2026 tăng/giảm so với biên chế tạm giao</t>
        </is>
      </c>
      <c r="G2" s="7" t="inlineStr">
        <is>
          <t>Biên chế giao năm 2026 tăng/giảm so với biên chế có mặt</t>
        </is>
      </c>
      <c r="H2" s="7" t="inlineStr">
        <is>
          <t>Ghi chú</t>
        </is>
      </c>
    </row>
    <row r="3">
      <c r="A3" s="6" t="inlineStr">
        <is>
          <t>1</t>
        </is>
      </c>
      <c r="B3" s="6" t="inlineStr">
        <is>
          <t>2</t>
        </is>
      </c>
      <c r="C3" s="6" t="n">
        <v>3</v>
      </c>
      <c r="D3" s="6" t="n">
        <v>4</v>
      </c>
      <c r="E3" s="6" t="n">
        <v>5</v>
      </c>
      <c r="F3" s="6" t="n">
        <v>6</v>
      </c>
      <c r="G3" s="6" t="n">
        <v>7</v>
      </c>
      <c r="H3" s="6" t="n">
        <v>8</v>
      </c>
    </row>
    <row r="4" customFormat="1" s="2">
      <c r="A4" s="7" t="n"/>
      <c r="B4" s="8" t="inlineStr">
        <is>
          <t>TỔNG I+II+III:</t>
        </is>
      </c>
      <c r="C4" s="9">
        <f>C5+C22+C87</f>
        <v/>
      </c>
      <c r="D4" s="9">
        <f>D5+D22+D87</f>
        <v/>
      </c>
      <c r="E4" s="9">
        <f>E5+E22+E87</f>
        <v/>
      </c>
      <c r="F4" s="9">
        <f>F5+F22+F87</f>
        <v/>
      </c>
      <c r="G4" s="9">
        <f>G5+G22+G87</f>
        <v/>
      </c>
      <c r="H4" s="10" t="n"/>
    </row>
    <row r="5">
      <c r="A5" s="9" t="inlineStr">
        <is>
          <t>I</t>
        </is>
      </c>
      <c r="B5" s="8" t="inlineStr">
        <is>
          <t>CẤP TỈNH</t>
        </is>
      </c>
      <c r="C5" s="9">
        <f>SUM(C6:C21)</f>
        <v/>
      </c>
      <c r="D5" s="9">
        <f>SUM(D6:D21)</f>
        <v/>
      </c>
      <c r="E5" s="9">
        <f>SUM(E6:E21)</f>
        <v/>
      </c>
      <c r="F5" s="9">
        <f>SUM(F6:F21)</f>
        <v/>
      </c>
      <c r="G5" s="9">
        <f>SUM(G6:G21)</f>
        <v/>
      </c>
      <c r="H5" s="10" t="n"/>
    </row>
    <row r="6">
      <c r="A6" s="11" t="inlineStr">
        <is>
          <t>1</t>
        </is>
      </c>
      <c r="B6" s="12" t="inlineStr">
        <is>
          <t>Văn phòng Ủy ban nhân dân tỉnh</t>
        </is>
      </c>
      <c r="C6" s="13" t="n">
        <v>21</v>
      </c>
      <c r="D6" s="13" t="n">
        <v>34</v>
      </c>
      <c r="E6" s="14" t="n">
        <v>12</v>
      </c>
      <c r="F6" s="14">
        <f>E6-C6</f>
        <v/>
      </c>
      <c r="G6" s="14">
        <f>E6-D6</f>
        <v/>
      </c>
      <c r="H6" s="30" t="inlineStr"/>
    </row>
    <row r="7">
      <c r="A7" s="11" t="inlineStr">
        <is>
          <t>2</t>
        </is>
      </c>
      <c r="B7" s="12" t="inlineStr">
        <is>
          <t>Sở Nội vụ</t>
        </is>
      </c>
      <c r="C7" s="13" t="n"/>
      <c r="D7" s="13" t="n"/>
      <c r="E7" s="14" t="n"/>
      <c r="F7" s="14">
        <f>E7-C7</f>
        <v/>
      </c>
      <c r="G7" s="14">
        <f>E7-D7</f>
        <v/>
      </c>
      <c r="H7" s="30" t="n"/>
    </row>
    <row r="8">
      <c r="A8" s="11" t="inlineStr">
        <is>
          <t>3</t>
        </is>
      </c>
      <c r="B8" s="12" t="inlineStr">
        <is>
          <t>Sở Tài chính</t>
        </is>
      </c>
      <c r="C8" s="13" t="n"/>
      <c r="D8" s="13" t="n"/>
      <c r="E8" s="14" t="n"/>
      <c r="F8" s="14">
        <f>E8-C8</f>
        <v/>
      </c>
      <c r="G8" s="14">
        <f>E8-D8</f>
        <v/>
      </c>
      <c r="H8" s="30" t="n"/>
    </row>
    <row r="9">
      <c r="A9" s="11" t="inlineStr">
        <is>
          <t>4</t>
        </is>
      </c>
      <c r="B9" s="12" t="inlineStr">
        <is>
          <t>Sở Nông nghiệp và Môi trường</t>
        </is>
      </c>
      <c r="C9" s="13" t="n"/>
      <c r="D9" s="13" t="n"/>
      <c r="E9" s="14" t="n"/>
      <c r="F9" s="14">
        <f>E9-C9</f>
        <v/>
      </c>
      <c r="G9" s="14">
        <f>E9-D9</f>
        <v/>
      </c>
      <c r="H9" s="30" t="n"/>
    </row>
    <row r="10" customFormat="1" s="2">
      <c r="A10" s="11" t="inlineStr">
        <is>
          <t>5</t>
        </is>
      </c>
      <c r="B10" s="12" t="inlineStr">
        <is>
          <t>Sở Khoa học và Công nghệ</t>
        </is>
      </c>
      <c r="C10" s="13" t="n"/>
      <c r="D10" s="13" t="n"/>
      <c r="E10" s="14" t="n"/>
      <c r="F10" s="14">
        <f>E10-C10</f>
        <v/>
      </c>
      <c r="G10" s="14">
        <f>E10-D10</f>
        <v/>
      </c>
      <c r="H10" s="30" t="n"/>
    </row>
    <row r="11">
      <c r="A11" s="11" t="inlineStr">
        <is>
          <t>6</t>
        </is>
      </c>
      <c r="B11" s="12" t="inlineStr">
        <is>
          <t>Sở Xây dựng</t>
        </is>
      </c>
      <c r="C11" s="13" t="n"/>
      <c r="D11" s="13" t="n"/>
      <c r="E11" s="14" t="n"/>
      <c r="F11" s="14">
        <f>E11-C11</f>
        <v/>
      </c>
      <c r="G11" s="14">
        <f>E11-D11</f>
        <v/>
      </c>
      <c r="H11" s="30" t="n"/>
    </row>
    <row r="12">
      <c r="A12" s="11" t="inlineStr">
        <is>
          <t>7</t>
        </is>
      </c>
      <c r="B12" s="12" t="inlineStr">
        <is>
          <t>Sở Công Thương</t>
        </is>
      </c>
      <c r="C12" s="13" t="n"/>
      <c r="D12" s="13" t="n"/>
      <c r="E12" s="14" t="n"/>
      <c r="F12" s="14">
        <f>E12-C12</f>
        <v/>
      </c>
      <c r="G12" s="14">
        <f>E12-D12</f>
        <v/>
      </c>
      <c r="H12" s="30" t="n"/>
    </row>
    <row r="13">
      <c r="A13" s="11" t="inlineStr">
        <is>
          <t>8</t>
        </is>
      </c>
      <c r="B13" s="12" t="inlineStr">
        <is>
          <t>Sở Tư pháp</t>
        </is>
      </c>
      <c r="C13" s="13" t="n"/>
      <c r="D13" s="13" t="n"/>
      <c r="E13" s="14" t="n"/>
      <c r="F13" s="14">
        <f>E13-C13</f>
        <v/>
      </c>
      <c r="G13" s="14">
        <f>E13-D13</f>
        <v/>
      </c>
      <c r="H13" s="30" t="n"/>
    </row>
    <row r="14">
      <c r="A14" s="11" t="inlineStr">
        <is>
          <t>9</t>
        </is>
      </c>
      <c r="B14" s="12" t="inlineStr">
        <is>
          <t>Sở Văn hoá, Thể thao và Du lịch</t>
        </is>
      </c>
      <c r="C14" s="13" t="n"/>
      <c r="D14" s="13" t="n"/>
      <c r="E14" s="14" t="n"/>
      <c r="F14" s="14">
        <f>E14-C14</f>
        <v/>
      </c>
      <c r="G14" s="14">
        <f>E14-D14</f>
        <v/>
      </c>
      <c r="H14" s="30" t="n"/>
    </row>
    <row r="15">
      <c r="A15" s="11" t="inlineStr">
        <is>
          <t>10</t>
        </is>
      </c>
      <c r="B15" s="12" t="inlineStr">
        <is>
          <t>Sở Giáo dục và Đào tạo</t>
        </is>
      </c>
      <c r="C15" s="13" t="n"/>
      <c r="D15" s="13" t="n"/>
      <c r="E15" s="14" t="n"/>
      <c r="F15" s="14">
        <f>E15-C15</f>
        <v/>
      </c>
      <c r="G15" s="14">
        <f>E15-D15</f>
        <v/>
      </c>
      <c r="H15" s="30" t="n"/>
    </row>
    <row r="16">
      <c r="A16" s="11" t="inlineStr">
        <is>
          <t>11</t>
        </is>
      </c>
      <c r="B16" s="12" t="inlineStr">
        <is>
          <t>Sở Y tế</t>
        </is>
      </c>
      <c r="C16" s="13" t="n"/>
      <c r="D16" s="13" t="n"/>
      <c r="E16" s="14" t="n"/>
      <c r="F16" s="14">
        <f>E16-C16</f>
        <v/>
      </c>
      <c r="G16" s="14">
        <f>E16-D16</f>
        <v/>
      </c>
      <c r="H16" s="30" t="n"/>
    </row>
    <row r="17">
      <c r="A17" s="11" t="inlineStr">
        <is>
          <t>12</t>
        </is>
      </c>
      <c r="B17" s="12" t="inlineStr">
        <is>
          <t>Thanh tra tỉnh</t>
        </is>
      </c>
      <c r="C17" s="13" t="n"/>
      <c r="D17" s="13" t="n"/>
      <c r="E17" s="14" t="n"/>
      <c r="F17" s="14">
        <f>E17-C17</f>
        <v/>
      </c>
      <c r="G17" s="14">
        <f>E17-D17</f>
        <v/>
      </c>
      <c r="H17" s="30" t="n"/>
    </row>
    <row r="18">
      <c r="A18" s="11" t="inlineStr">
        <is>
          <t>13</t>
        </is>
      </c>
      <c r="B18" s="12" t="inlineStr">
        <is>
          <t>Sở Dân tộc và Tôn giáo</t>
        </is>
      </c>
      <c r="C18" s="13" t="n"/>
      <c r="D18" s="13" t="n"/>
      <c r="E18" s="14" t="n"/>
      <c r="F18" s="14">
        <f>E18-C18</f>
        <v/>
      </c>
      <c r="G18" s="14">
        <f>E18-D18</f>
        <v/>
      </c>
      <c r="H18" s="30" t="n"/>
    </row>
    <row r="19">
      <c r="A19" s="11" t="inlineStr">
        <is>
          <t>14</t>
        </is>
      </c>
      <c r="B19" s="12" t="inlineStr">
        <is>
          <t>Văn phòng Đoàn ĐBQH và HĐND</t>
        </is>
      </c>
      <c r="C19" s="13" t="n"/>
      <c r="D19" s="13" t="n"/>
      <c r="E19" s="14" t="n"/>
      <c r="F19" s="14">
        <f>E19-C19</f>
        <v/>
      </c>
      <c r="G19" s="14">
        <f>E19-D19</f>
        <v/>
      </c>
      <c r="H19" s="30" t="n"/>
    </row>
    <row r="20">
      <c r="A20" s="11" t="inlineStr">
        <is>
          <t>15</t>
        </is>
      </c>
      <c r="B20" s="12" t="inlineStr">
        <is>
          <t xml:space="preserve">Ban Quản lý Khu kinh tế tỉnh </t>
        </is>
      </c>
      <c r="C20" s="13" t="n"/>
      <c r="D20" s="13" t="n"/>
      <c r="E20" s="14" t="n"/>
      <c r="F20" s="14">
        <f>E20-C20</f>
        <v/>
      </c>
      <c r="G20" s="14">
        <f>E20-D20</f>
        <v/>
      </c>
      <c r="H20" s="30" t="n"/>
    </row>
    <row r="21" customFormat="1" s="3">
      <c r="A21" s="11" t="inlineStr">
        <is>
          <t>16</t>
        </is>
      </c>
      <c r="B21" s="12" t="inlineStr">
        <is>
          <t>Văn phòng Ban An toàn giao thông</t>
        </is>
      </c>
      <c r="C21" s="13" t="n"/>
      <c r="D21" s="13" t="n"/>
      <c r="E21" s="14" t="n"/>
      <c r="F21" s="14">
        <f>E21-C21</f>
        <v/>
      </c>
      <c r="G21" s="14">
        <f>E21-D21</f>
        <v/>
      </c>
      <c r="H21" s="30" t="n"/>
    </row>
    <row r="22">
      <c r="A22" s="9" t="inlineStr">
        <is>
          <t>II</t>
        </is>
      </c>
      <c r="B22" s="15" t="inlineStr">
        <is>
          <t>CẤP XÃ</t>
        </is>
      </c>
      <c r="C22" s="7">
        <f>SUM(C23:C86)</f>
        <v/>
      </c>
      <c r="D22" s="7">
        <f>SUM(D23:D86)</f>
        <v/>
      </c>
      <c r="E22" s="7">
        <f>SUM(E23:E86)</f>
        <v/>
      </c>
      <c r="F22" s="7">
        <f>SUM(F23:F86)</f>
        <v/>
      </c>
      <c r="G22" s="7">
        <f>SUM(G23:G86)</f>
        <v/>
      </c>
      <c r="H22" s="16" t="n"/>
    </row>
    <row r="23" ht="14.25" customHeight="1">
      <c r="A23" s="11" t="inlineStr">
        <is>
          <t>1</t>
        </is>
      </c>
      <c r="B23" s="17" t="inlineStr">
        <is>
          <t>Phường An Xuyên</t>
        </is>
      </c>
      <c r="C23" s="18" t="n"/>
      <c r="D23" s="18" t="n"/>
      <c r="E23" s="19" t="n"/>
      <c r="F23" s="14">
        <f>E23-C23</f>
        <v/>
      </c>
      <c r="G23" s="14">
        <f>E23-D23</f>
        <v/>
      </c>
      <c r="H23" s="31" t="n"/>
    </row>
    <row r="24">
      <c r="A24" s="11" t="inlineStr">
        <is>
          <t>2</t>
        </is>
      </c>
      <c r="B24" s="17" t="inlineStr">
        <is>
          <t>Phường Tân Thành</t>
        </is>
      </c>
      <c r="C24" s="18" t="n"/>
      <c r="D24" s="18" t="n"/>
      <c r="E24" s="19" t="n"/>
      <c r="F24" s="14">
        <f>E24-C24</f>
        <v/>
      </c>
      <c r="G24" s="14">
        <f>E24-D24</f>
        <v/>
      </c>
      <c r="H24" s="31" t="n"/>
    </row>
    <row r="25">
      <c r="A25" s="11" t="inlineStr">
        <is>
          <t>3</t>
        </is>
      </c>
      <c r="B25" s="17" t="inlineStr">
        <is>
          <t>Phường Bạc Liêu</t>
        </is>
      </c>
      <c r="C25" s="18" t="n"/>
      <c r="D25" s="18" t="n"/>
      <c r="E25" s="19" t="n"/>
      <c r="F25" s="14">
        <f>E25-C25</f>
        <v/>
      </c>
      <c r="G25" s="14">
        <f>E25-D25</f>
        <v/>
      </c>
      <c r="H25" s="31" t="n"/>
    </row>
    <row r="26">
      <c r="A26" s="11" t="inlineStr">
        <is>
          <t>4</t>
        </is>
      </c>
      <c r="B26" s="17" t="inlineStr">
        <is>
          <t>Phường Giá Rai</t>
        </is>
      </c>
      <c r="C26" s="18" t="n"/>
      <c r="D26" s="18" t="n"/>
      <c r="E26" s="19" t="n"/>
      <c r="F26" s="14">
        <f>E26-C26</f>
        <v/>
      </c>
      <c r="G26" s="14">
        <f>E26-D26</f>
        <v/>
      </c>
      <c r="H26" s="31" t="n"/>
    </row>
    <row r="27">
      <c r="A27" s="11" t="inlineStr">
        <is>
          <t>5</t>
        </is>
      </c>
      <c r="B27" s="17" t="inlineStr">
        <is>
          <t>Phường Lý Văn Lâm</t>
        </is>
      </c>
      <c r="C27" s="18" t="n"/>
      <c r="D27" s="18" t="n"/>
      <c r="E27" s="19" t="n"/>
      <c r="F27" s="14">
        <f>E27-C27</f>
        <v/>
      </c>
      <c r="G27" s="14">
        <f>E27-D27</f>
        <v/>
      </c>
      <c r="H27" s="31" t="n"/>
    </row>
    <row r="28">
      <c r="A28" s="11" t="inlineStr">
        <is>
          <t>6</t>
        </is>
      </c>
      <c r="B28" s="17" t="inlineStr">
        <is>
          <t>Phường Hòa Thành</t>
        </is>
      </c>
      <c r="C28" s="18" t="n"/>
      <c r="D28" s="18" t="n"/>
      <c r="E28" s="19" t="n"/>
      <c r="F28" s="14">
        <f>E28-C28</f>
        <v/>
      </c>
      <c r="G28" s="14">
        <f>E28-D28</f>
        <v/>
      </c>
      <c r="H28" s="31" t="n"/>
    </row>
    <row r="29">
      <c r="A29" s="11" t="inlineStr">
        <is>
          <t>7</t>
        </is>
      </c>
      <c r="B29" s="17" t="inlineStr">
        <is>
          <t>Phường Hiệp Thành</t>
        </is>
      </c>
      <c r="C29" s="18" t="n"/>
      <c r="D29" s="18" t="n"/>
      <c r="E29" s="19" t="n"/>
      <c r="F29" s="14">
        <f>E29-C29</f>
        <v/>
      </c>
      <c r="G29" s="14">
        <f>E29-D29</f>
        <v/>
      </c>
      <c r="H29" s="31" t="n"/>
    </row>
    <row r="30">
      <c r="A30" s="11" t="inlineStr">
        <is>
          <t>8</t>
        </is>
      </c>
      <c r="B30" s="17" t="inlineStr">
        <is>
          <t>Phường Vĩnh Trạch</t>
        </is>
      </c>
      <c r="C30" s="18" t="n"/>
      <c r="D30" s="18" t="n"/>
      <c r="E30" s="19" t="n"/>
      <c r="F30" s="14">
        <f>E30-C30</f>
        <v/>
      </c>
      <c r="G30" s="14">
        <f>E30-D30</f>
        <v/>
      </c>
      <c r="H30" s="31" t="n"/>
    </row>
    <row r="31">
      <c r="A31" s="11" t="inlineStr">
        <is>
          <t>9</t>
        </is>
      </c>
      <c r="B31" s="17" t="inlineStr">
        <is>
          <t>Phường Láng Tròn</t>
        </is>
      </c>
      <c r="C31" s="18" t="n"/>
      <c r="D31" s="18" t="n"/>
      <c r="E31" s="19" t="n"/>
      <c r="F31" s="14">
        <f>E31-C31</f>
        <v/>
      </c>
      <c r="G31" s="14">
        <f>E31-D31</f>
        <v/>
      </c>
      <c r="H31" s="31" t="n"/>
    </row>
    <row r="32">
      <c r="A32" s="11" t="inlineStr">
        <is>
          <t>10</t>
        </is>
      </c>
      <c r="B32" s="20" t="inlineStr">
        <is>
          <t>Xã Sông Đốc</t>
        </is>
      </c>
      <c r="C32" s="21" t="n"/>
      <c r="D32" s="18" t="n"/>
      <c r="E32" s="19" t="n"/>
      <c r="F32" s="14">
        <f>E32-C32</f>
        <v/>
      </c>
      <c r="G32" s="14">
        <f>E32-D32</f>
        <v/>
      </c>
      <c r="H32" s="31" t="n"/>
    </row>
    <row r="33">
      <c r="A33" s="11" t="inlineStr">
        <is>
          <t>11</t>
        </is>
      </c>
      <c r="B33" s="17" t="inlineStr">
        <is>
          <t>Xã Năm Căn</t>
        </is>
      </c>
      <c r="C33" s="18" t="n"/>
      <c r="D33" s="18" t="n"/>
      <c r="E33" s="19" t="n"/>
      <c r="F33" s="14">
        <f>E33-C33</f>
        <v/>
      </c>
      <c r="G33" s="14">
        <f>E33-D33</f>
        <v/>
      </c>
      <c r="H33" s="31" t="n"/>
    </row>
    <row r="34">
      <c r="A34" s="11" t="inlineStr">
        <is>
          <t>12</t>
        </is>
      </c>
      <c r="B34" s="22" t="inlineStr">
        <is>
          <t xml:space="preserve">Xã Hòa Bình </t>
        </is>
      </c>
      <c r="C34" s="23" t="n"/>
      <c r="D34" s="18" t="n"/>
      <c r="E34" s="19" t="n"/>
      <c r="F34" s="14">
        <f>E34-C34</f>
        <v/>
      </c>
      <c r="G34" s="14">
        <f>E34-D34</f>
        <v/>
      </c>
      <c r="H34" s="31" t="n"/>
    </row>
    <row r="35">
      <c r="A35" s="11" t="inlineStr">
        <is>
          <t>13</t>
        </is>
      </c>
      <c r="B35" s="20" t="inlineStr">
        <is>
          <t>Xã Trần Văn Thời</t>
        </is>
      </c>
      <c r="C35" s="21" t="n"/>
      <c r="D35" s="18" t="n"/>
      <c r="E35" s="19" t="n"/>
      <c r="F35" s="14">
        <f>E35-C35</f>
        <v/>
      </c>
      <c r="G35" s="14">
        <f>E35-D35</f>
        <v/>
      </c>
      <c r="H35" s="31" t="n"/>
    </row>
    <row r="36">
      <c r="A36" s="11" t="inlineStr">
        <is>
          <t>14</t>
        </is>
      </c>
      <c r="B36" s="22" t="inlineStr">
        <is>
          <t>Xã Gành Hào</t>
        </is>
      </c>
      <c r="C36" s="23" t="n"/>
      <c r="D36" s="18" t="n"/>
      <c r="E36" s="19" t="n"/>
      <c r="F36" s="14">
        <f>E36-C36</f>
        <v/>
      </c>
      <c r="G36" s="14">
        <f>E36-D36</f>
        <v/>
      </c>
      <c r="H36" s="31" t="n"/>
    </row>
    <row r="37">
      <c r="A37" s="11" t="inlineStr">
        <is>
          <t>15</t>
        </is>
      </c>
      <c r="B37" s="17" t="inlineStr">
        <is>
          <t>Xã Cái Nước</t>
        </is>
      </c>
      <c r="C37" s="18" t="n"/>
      <c r="D37" s="18" t="n"/>
      <c r="E37" s="19" t="n"/>
      <c r="F37" s="14">
        <f>E37-C37</f>
        <v/>
      </c>
      <c r="G37" s="14">
        <f>E37-D37</f>
        <v/>
      </c>
      <c r="H37" s="31" t="n"/>
    </row>
    <row r="38">
      <c r="A38" s="11" t="inlineStr">
        <is>
          <t>16</t>
        </is>
      </c>
      <c r="B38" s="17" t="inlineStr">
        <is>
          <t>Xã Thới Bình</t>
        </is>
      </c>
      <c r="C38" s="18" t="n"/>
      <c r="D38" s="18" t="n"/>
      <c r="E38" s="19" t="n"/>
      <c r="F38" s="14">
        <f>E38-C38</f>
        <v/>
      </c>
      <c r="G38" s="14">
        <f>E38-D38</f>
        <v/>
      </c>
      <c r="H38" s="31" t="n"/>
    </row>
    <row r="39">
      <c r="A39" s="11" t="inlineStr">
        <is>
          <t>17</t>
        </is>
      </c>
      <c r="B39" s="22" t="inlineStr">
        <is>
          <t xml:space="preserve">Xã Phước Long </t>
        </is>
      </c>
      <c r="C39" s="23" t="n"/>
      <c r="D39" s="18" t="n"/>
      <c r="E39" s="19" t="n"/>
      <c r="F39" s="14">
        <f>E39-C39</f>
        <v/>
      </c>
      <c r="G39" s="14">
        <f>E39-D39</f>
        <v/>
      </c>
      <c r="H39" s="31" t="n"/>
    </row>
    <row r="40">
      <c r="A40" s="11" t="inlineStr">
        <is>
          <t>18</t>
        </is>
      </c>
      <c r="B40" s="24" t="inlineStr">
        <is>
          <t>Xã Hồng Dân</t>
        </is>
      </c>
      <c r="C40" s="23" t="n"/>
      <c r="D40" s="18" t="n"/>
      <c r="E40" s="19" t="n"/>
      <c r="F40" s="14">
        <f>E40-C40</f>
        <v/>
      </c>
      <c r="G40" s="14">
        <f>E40-D40</f>
        <v/>
      </c>
      <c r="H40" s="31" t="n"/>
    </row>
    <row r="41">
      <c r="A41" s="11" t="inlineStr">
        <is>
          <t>19</t>
        </is>
      </c>
      <c r="B41" s="22" t="inlineStr">
        <is>
          <t xml:space="preserve">Xã Vĩnh Lợi </t>
        </is>
      </c>
      <c r="C41" s="23" t="n"/>
      <c r="D41" s="18" t="n"/>
      <c r="E41" s="19" t="n"/>
      <c r="F41" s="14">
        <f>E41-C41</f>
        <v/>
      </c>
      <c r="G41" s="14">
        <f>E41-D41</f>
        <v/>
      </c>
      <c r="H41" s="31" t="n"/>
    </row>
    <row r="42">
      <c r="A42" s="11" t="inlineStr">
        <is>
          <t>20</t>
        </is>
      </c>
      <c r="B42" s="17" t="inlineStr">
        <is>
          <t>Xã Cái Đôi Vàm</t>
        </is>
      </c>
      <c r="C42" s="18" t="n"/>
      <c r="D42" s="18" t="n"/>
      <c r="E42" s="19" t="n"/>
      <c r="F42" s="14">
        <f>E42-C42</f>
        <v/>
      </c>
      <c r="G42" s="14">
        <f>E42-D42</f>
        <v/>
      </c>
      <c r="H42" s="31" t="n"/>
    </row>
    <row r="43">
      <c r="A43" s="11" t="inlineStr">
        <is>
          <t>21</t>
        </is>
      </c>
      <c r="B43" s="17" t="inlineStr">
        <is>
          <t>Xã Đầm Dơi</t>
        </is>
      </c>
      <c r="C43" s="18" t="n"/>
      <c r="D43" s="18" t="n"/>
      <c r="E43" s="19" t="n"/>
      <c r="F43" s="14">
        <f>E43-C43</f>
        <v/>
      </c>
      <c r="G43" s="14">
        <f>E43-D43</f>
        <v/>
      </c>
      <c r="H43" s="31" t="n"/>
    </row>
    <row r="44">
      <c r="A44" s="11" t="inlineStr">
        <is>
          <t>22</t>
        </is>
      </c>
      <c r="B44" s="17" t="inlineStr">
        <is>
          <t>Xã Phan Ngọc Hiển</t>
        </is>
      </c>
      <c r="C44" s="18" t="n"/>
      <c r="D44" s="18" t="n"/>
      <c r="E44" s="19" t="n"/>
      <c r="F44" s="14">
        <f>E44-C44</f>
        <v/>
      </c>
      <c r="G44" s="14">
        <f>E44-D44</f>
        <v/>
      </c>
      <c r="H44" s="31" t="n"/>
    </row>
    <row r="45">
      <c r="A45" s="11" t="inlineStr">
        <is>
          <t>23</t>
        </is>
      </c>
      <c r="B45" s="20" t="inlineStr">
        <is>
          <t>Xã Nguyễn Phích</t>
        </is>
      </c>
      <c r="C45" s="21" t="n"/>
      <c r="D45" s="18" t="n"/>
      <c r="E45" s="19" t="n"/>
      <c r="F45" s="14">
        <f>E45-C45</f>
        <v/>
      </c>
      <c r="G45" s="14">
        <f>E45-D45</f>
        <v/>
      </c>
      <c r="H45" s="31" t="n"/>
    </row>
    <row r="46">
      <c r="A46" s="11" t="inlineStr">
        <is>
          <t>24</t>
        </is>
      </c>
      <c r="B46" s="22" t="inlineStr">
        <is>
          <t>Xã Vĩnh Hậu</t>
        </is>
      </c>
      <c r="C46" s="23" t="n"/>
      <c r="D46" s="18" t="n"/>
      <c r="E46" s="19" t="n"/>
      <c r="F46" s="14">
        <f>E46-C46</f>
        <v/>
      </c>
      <c r="G46" s="14">
        <f>E46-D46</f>
        <v/>
      </c>
      <c r="H46" s="31" t="n"/>
    </row>
    <row r="47">
      <c r="A47" s="11" t="inlineStr">
        <is>
          <t>25</t>
        </is>
      </c>
      <c r="B47" s="17" t="inlineStr">
        <is>
          <t>Xã Lương Thế Trân</t>
        </is>
      </c>
      <c r="C47" s="18" t="n"/>
      <c r="D47" s="18" t="n"/>
      <c r="E47" s="19" t="n"/>
      <c r="F47" s="14">
        <f>E47-C47</f>
        <v/>
      </c>
      <c r="G47" s="14">
        <f>E47-D47</f>
        <v/>
      </c>
      <c r="H47" s="31" t="n"/>
    </row>
    <row r="48">
      <c r="A48" s="11" t="inlineStr">
        <is>
          <t>26</t>
        </is>
      </c>
      <c r="B48" s="17" t="inlineStr">
        <is>
          <t>Xã Trí Phải</t>
        </is>
      </c>
      <c r="C48" s="18" t="n"/>
      <c r="D48" s="18" t="n"/>
      <c r="E48" s="19" t="n"/>
      <c r="F48" s="14">
        <f>E48-C48</f>
        <v/>
      </c>
      <c r="G48" s="14">
        <f>E48-D48</f>
        <v/>
      </c>
      <c r="H48" s="31" t="n"/>
    </row>
    <row r="49">
      <c r="A49" s="11" t="inlineStr">
        <is>
          <t>27</t>
        </is>
      </c>
      <c r="B49" s="20" t="inlineStr">
        <is>
          <t>Xã Đá Bạc</t>
        </is>
      </c>
      <c r="C49" s="21" t="n"/>
      <c r="D49" s="18" t="n"/>
      <c r="E49" s="19" t="n"/>
      <c r="F49" s="14">
        <f>E49-C49</f>
        <v/>
      </c>
      <c r="G49" s="14">
        <f>E49-D49</f>
        <v/>
      </c>
      <c r="H49" s="31" t="n"/>
    </row>
    <row r="50">
      <c r="A50" s="11" t="inlineStr">
        <is>
          <t>28</t>
        </is>
      </c>
      <c r="B50" s="20" t="inlineStr">
        <is>
          <t>Xã Khánh Lâm</t>
        </is>
      </c>
      <c r="C50" s="21" t="n"/>
      <c r="D50" s="18" t="n"/>
      <c r="E50" s="19" t="n"/>
      <c r="F50" s="14">
        <f>E50-C50</f>
        <v/>
      </c>
      <c r="G50" s="14">
        <f>E50-D50</f>
        <v/>
      </c>
      <c r="H50" s="31" t="n"/>
    </row>
    <row r="51">
      <c r="A51" s="11" t="inlineStr">
        <is>
          <t>29</t>
        </is>
      </c>
      <c r="B51" s="24" t="inlineStr">
        <is>
          <t>Xã Phong Thạnh</t>
        </is>
      </c>
      <c r="C51" s="23" t="n"/>
      <c r="D51" s="18" t="n"/>
      <c r="E51" s="19" t="n"/>
      <c r="F51" s="14">
        <f>E51-C51</f>
        <v/>
      </c>
      <c r="G51" s="14">
        <f>E51-D51</f>
        <v/>
      </c>
      <c r="H51" s="31" t="n"/>
    </row>
    <row r="52">
      <c r="A52" s="11" t="inlineStr">
        <is>
          <t>30</t>
        </is>
      </c>
      <c r="B52" s="22" t="inlineStr">
        <is>
          <t xml:space="preserve">Xã Long Điền </t>
        </is>
      </c>
      <c r="C52" s="23" t="n"/>
      <c r="D52" s="18" t="n"/>
      <c r="E52" s="19" t="n"/>
      <c r="F52" s="14">
        <f>E52-C52</f>
        <v/>
      </c>
      <c r="G52" s="14">
        <f>E52-D52</f>
        <v/>
      </c>
      <c r="H52" s="31" t="n"/>
    </row>
    <row r="53">
      <c r="A53" s="11" t="inlineStr">
        <is>
          <t>31</t>
        </is>
      </c>
      <c r="B53" s="17" t="inlineStr">
        <is>
          <t>Xã Đất Mũi</t>
        </is>
      </c>
      <c r="C53" s="18" t="n"/>
      <c r="D53" s="18" t="n"/>
      <c r="E53" s="19" t="n"/>
      <c r="F53" s="14">
        <f>E53-C53</f>
        <v/>
      </c>
      <c r="G53" s="14">
        <f>E53-D53</f>
        <v/>
      </c>
      <c r="H53" s="31" t="n"/>
    </row>
    <row r="54">
      <c r="A54" s="11" t="inlineStr">
        <is>
          <t>32</t>
        </is>
      </c>
      <c r="B54" s="17" t="inlineStr">
        <is>
          <t>Xã Tân Thuận</t>
        </is>
      </c>
      <c r="C54" s="18" t="n"/>
      <c r="D54" s="18" t="n"/>
      <c r="E54" s="19" t="n"/>
      <c r="F54" s="14">
        <f>E54-C54</f>
        <v/>
      </c>
      <c r="G54" s="14">
        <f>E54-D54</f>
        <v/>
      </c>
      <c r="H54" s="31" t="n"/>
    </row>
    <row r="55">
      <c r="A55" s="11" t="inlineStr">
        <is>
          <t>33</t>
        </is>
      </c>
      <c r="B55" s="22" t="inlineStr">
        <is>
          <t>Xã Vĩnh Mỹ</t>
        </is>
      </c>
      <c r="C55" s="23" t="n"/>
      <c r="D55" s="18" t="n"/>
      <c r="E55" s="19" t="n"/>
      <c r="F55" s="14">
        <f>E55-C55</f>
        <v/>
      </c>
      <c r="G55" s="14">
        <f>E55-D55</f>
        <v/>
      </c>
      <c r="H55" s="31" t="n"/>
    </row>
    <row r="56">
      <c r="A56" s="11" t="inlineStr">
        <is>
          <t>34</t>
        </is>
      </c>
      <c r="B56" s="22" t="inlineStr">
        <is>
          <t xml:space="preserve">Xã Châu Thới </t>
        </is>
      </c>
      <c r="C56" s="23" t="n"/>
      <c r="D56" s="18" t="n"/>
      <c r="E56" s="19" t="n"/>
      <c r="F56" s="14">
        <f>E56-C56</f>
        <v/>
      </c>
      <c r="G56" s="14">
        <f>E56-D56</f>
        <v/>
      </c>
      <c r="H56" s="31" t="n"/>
    </row>
    <row r="57">
      <c r="A57" s="11" t="inlineStr">
        <is>
          <t>35</t>
        </is>
      </c>
      <c r="B57" s="17" t="inlineStr">
        <is>
          <t>Xã Tân Hưng</t>
        </is>
      </c>
      <c r="C57" s="18" t="n"/>
      <c r="D57" s="18" t="n"/>
      <c r="E57" s="19" t="n"/>
      <c r="F57" s="14">
        <f>E57-C57</f>
        <v/>
      </c>
      <c r="G57" s="14">
        <f>E57-D57</f>
        <v/>
      </c>
      <c r="H57" s="31" t="n"/>
    </row>
    <row r="58">
      <c r="A58" s="11" t="inlineStr">
        <is>
          <t>36</t>
        </is>
      </c>
      <c r="B58" s="17" t="inlineStr">
        <is>
          <t>Xã Hưng Mỹ</t>
        </is>
      </c>
      <c r="C58" s="18" t="n"/>
      <c r="D58" s="18" t="n"/>
      <c r="E58" s="19" t="n"/>
      <c r="F58" s="14">
        <f>E58-C58</f>
        <v/>
      </c>
      <c r="G58" s="14">
        <f>E58-D58</f>
        <v/>
      </c>
      <c r="H58" s="31" t="n"/>
    </row>
    <row r="59">
      <c r="A59" s="11" t="inlineStr">
        <is>
          <t>37</t>
        </is>
      </c>
      <c r="B59" s="17" t="inlineStr">
        <is>
          <t>Xã Tân Tiến</t>
        </is>
      </c>
      <c r="C59" s="18" t="n"/>
      <c r="D59" s="18" t="n"/>
      <c r="E59" s="19" t="n"/>
      <c r="F59" s="14">
        <f>E59-C59</f>
        <v/>
      </c>
      <c r="G59" s="14">
        <f>E59-D59</f>
        <v/>
      </c>
      <c r="H59" s="31" t="n"/>
    </row>
    <row r="60">
      <c r="A60" s="11" t="inlineStr">
        <is>
          <t>38</t>
        </is>
      </c>
      <c r="B60" s="17" t="inlineStr">
        <is>
          <t>Xã Tạ An Khương</t>
        </is>
      </c>
      <c r="C60" s="18" t="n"/>
      <c r="D60" s="18" t="n"/>
      <c r="E60" s="19" t="n"/>
      <c r="F60" s="14">
        <f>E60-C60</f>
        <v/>
      </c>
      <c r="G60" s="14">
        <f>E60-D60</f>
        <v/>
      </c>
      <c r="H60" s="31" t="n"/>
    </row>
    <row r="61">
      <c r="A61" s="11" t="inlineStr">
        <is>
          <t>39</t>
        </is>
      </c>
      <c r="B61" s="17" t="inlineStr">
        <is>
          <t>Xã Trần Phán</t>
        </is>
      </c>
      <c r="C61" s="18" t="n"/>
      <c r="D61" s="18" t="n"/>
      <c r="E61" s="19" t="n"/>
      <c r="F61" s="14">
        <f>E61-C61</f>
        <v/>
      </c>
      <c r="G61" s="14">
        <f>E61-D61</f>
        <v/>
      </c>
      <c r="H61" s="31" t="n"/>
    </row>
    <row r="62">
      <c r="A62" s="11" t="inlineStr">
        <is>
          <t>40</t>
        </is>
      </c>
      <c r="B62" s="17" t="inlineStr">
        <is>
          <t>Xã Quách Phẩm</t>
        </is>
      </c>
      <c r="C62" s="18" t="n"/>
      <c r="D62" s="18" t="n"/>
      <c r="E62" s="19" t="n"/>
      <c r="F62" s="14">
        <f>E62-C62</f>
        <v/>
      </c>
      <c r="G62" s="14">
        <f>E62-D62</f>
        <v/>
      </c>
      <c r="H62" s="31" t="n"/>
    </row>
    <row r="63">
      <c r="A63" s="11" t="inlineStr">
        <is>
          <t>41</t>
        </is>
      </c>
      <c r="B63" s="17" t="inlineStr">
        <is>
          <t>Xã Tân Ân</t>
        </is>
      </c>
      <c r="C63" s="18" t="n"/>
      <c r="D63" s="18" t="n"/>
      <c r="E63" s="19" t="n"/>
      <c r="F63" s="14">
        <f>E63-C63</f>
        <v/>
      </c>
      <c r="G63" s="14">
        <f>E63-D63</f>
        <v/>
      </c>
      <c r="H63" s="31" t="n"/>
    </row>
    <row r="64">
      <c r="A64" s="11" t="inlineStr">
        <is>
          <t>42</t>
        </is>
      </c>
      <c r="B64" s="17" t="inlineStr">
        <is>
          <t>Xã Phú Tân</t>
        </is>
      </c>
      <c r="C64" s="18" t="n"/>
      <c r="D64" s="18" t="n"/>
      <c r="E64" s="19" t="n"/>
      <c r="F64" s="14">
        <f>E64-C64</f>
        <v/>
      </c>
      <c r="G64" s="14">
        <f>E64-D64</f>
        <v/>
      </c>
      <c r="H64" s="31" t="n"/>
    </row>
    <row r="65">
      <c r="A65" s="11" t="inlineStr">
        <is>
          <t>43</t>
        </is>
      </c>
      <c r="B65" s="17" t="inlineStr">
        <is>
          <t>Xã Nguyễn Việt Khái</t>
        </is>
      </c>
      <c r="C65" s="18" t="n"/>
      <c r="D65" s="18" t="n"/>
      <c r="E65" s="19" t="n"/>
      <c r="F65" s="14">
        <f>E65-C65</f>
        <v/>
      </c>
      <c r="G65" s="14">
        <f>E65-D65</f>
        <v/>
      </c>
      <c r="H65" s="31" t="n"/>
    </row>
    <row r="66">
      <c r="A66" s="11" t="inlineStr">
        <is>
          <t>44</t>
        </is>
      </c>
      <c r="B66" s="17" t="inlineStr">
        <is>
          <t>Xã Tân Lộc</t>
        </is>
      </c>
      <c r="C66" s="18" t="n"/>
      <c r="D66" s="18" t="n"/>
      <c r="E66" s="19" t="n"/>
      <c r="F66" s="14">
        <f>E66-C66</f>
        <v/>
      </c>
      <c r="G66" s="14">
        <f>E66-D66</f>
        <v/>
      </c>
      <c r="H66" s="31" t="n"/>
    </row>
    <row r="67">
      <c r="A67" s="11" t="inlineStr">
        <is>
          <t>45</t>
        </is>
      </c>
      <c r="B67" s="17" t="inlineStr">
        <is>
          <t>Xã Hồ Thị Kỷ</t>
        </is>
      </c>
      <c r="C67" s="18" t="n"/>
      <c r="D67" s="18" t="n"/>
      <c r="E67" s="19" t="n"/>
      <c r="F67" s="14">
        <f>E67-C67</f>
        <v/>
      </c>
      <c r="G67" s="14">
        <f>E67-D67</f>
        <v/>
      </c>
      <c r="H67" s="31" t="n"/>
    </row>
    <row r="68">
      <c r="A68" s="11" t="inlineStr">
        <is>
          <t>46</t>
        </is>
      </c>
      <c r="B68" s="20" t="inlineStr">
        <is>
          <t>Xã Biển Bạch</t>
        </is>
      </c>
      <c r="C68" s="18" t="n"/>
      <c r="D68" s="18" t="n"/>
      <c r="E68" s="19" t="n"/>
      <c r="F68" s="14">
        <f>E68-C68</f>
        <v/>
      </c>
      <c r="G68" s="14">
        <f>E68-D68</f>
        <v/>
      </c>
      <c r="H68" s="31" t="n"/>
    </row>
    <row r="69">
      <c r="A69" s="11" t="inlineStr">
        <is>
          <t>47</t>
        </is>
      </c>
      <c r="B69" s="20" t="inlineStr">
        <is>
          <t>Xã Khánh Bình</t>
        </is>
      </c>
      <c r="C69" s="18" t="n"/>
      <c r="D69" s="18" t="n"/>
      <c r="E69" s="19" t="n"/>
      <c r="F69" s="14">
        <f>E69-C69</f>
        <v/>
      </c>
      <c r="G69" s="14">
        <f>E69-D69</f>
        <v/>
      </c>
      <c r="H69" s="31" t="n"/>
    </row>
    <row r="70">
      <c r="A70" s="11" t="inlineStr">
        <is>
          <t>48</t>
        </is>
      </c>
      <c r="B70" s="20" t="inlineStr">
        <is>
          <t>Xã Khánh Hưng</t>
        </is>
      </c>
      <c r="C70" s="18" t="n"/>
      <c r="D70" s="18" t="n"/>
      <c r="E70" s="19" t="n"/>
      <c r="F70" s="14">
        <f>E70-C70</f>
        <v/>
      </c>
      <c r="G70" s="14">
        <f>E70-D70</f>
        <v/>
      </c>
      <c r="H70" s="31" t="n"/>
    </row>
    <row r="71">
      <c r="A71" s="11" t="inlineStr">
        <is>
          <t>49</t>
        </is>
      </c>
      <c r="B71" s="20" t="inlineStr">
        <is>
          <t>Xã U Minh</t>
        </is>
      </c>
      <c r="C71" s="18" t="n"/>
      <c r="D71" s="18" t="n"/>
      <c r="E71" s="19" t="n"/>
      <c r="F71" s="14">
        <f>E71-C71</f>
        <v/>
      </c>
      <c r="G71" s="14">
        <f>E71-D71</f>
        <v/>
      </c>
      <c r="H71" s="31" t="n"/>
    </row>
    <row r="72">
      <c r="A72" s="11" t="inlineStr">
        <is>
          <t>50</t>
        </is>
      </c>
      <c r="B72" s="24" t="inlineStr">
        <is>
          <t>Xã Ninh Quới</t>
        </is>
      </c>
      <c r="C72" s="18" t="n"/>
      <c r="D72" s="18" t="n"/>
      <c r="E72" s="19" t="n"/>
      <c r="F72" s="14">
        <f>E72-C72</f>
        <v/>
      </c>
      <c r="G72" s="14">
        <f>E72-D72</f>
        <v/>
      </c>
      <c r="H72" s="31" t="n"/>
    </row>
    <row r="73">
      <c r="A73" s="11" t="inlineStr">
        <is>
          <t>51</t>
        </is>
      </c>
      <c r="B73" s="22" t="inlineStr">
        <is>
          <t xml:space="preserve">Xã An Trạch </t>
        </is>
      </c>
      <c r="C73" s="18" t="n"/>
      <c r="D73" s="18" t="n"/>
      <c r="E73" s="19" t="n"/>
      <c r="F73" s="14">
        <f>E73-C73</f>
        <v/>
      </c>
      <c r="G73" s="14">
        <f>E73-D73</f>
        <v/>
      </c>
      <c r="H73" s="31" t="n"/>
    </row>
    <row r="74">
      <c r="A74" s="11" t="inlineStr">
        <is>
          <t>52</t>
        </is>
      </c>
      <c r="B74" s="22" t="inlineStr">
        <is>
          <t>Xã Định Thành</t>
        </is>
      </c>
      <c r="C74" s="18" t="n"/>
      <c r="D74" s="18" t="n"/>
      <c r="E74" s="19" t="n"/>
      <c r="F74" s="14">
        <f>E74-C74</f>
        <v/>
      </c>
      <c r="G74" s="14">
        <f>E74-D74</f>
        <v/>
      </c>
      <c r="H74" s="31" t="n"/>
    </row>
    <row r="75">
      <c r="A75" s="11" t="inlineStr">
        <is>
          <t>53</t>
        </is>
      </c>
      <c r="B75" s="22" t="inlineStr">
        <is>
          <t>Xã Đông Hải</t>
        </is>
      </c>
      <c r="C75" s="18" t="n"/>
      <c r="D75" s="18" t="n"/>
      <c r="E75" s="19" t="n"/>
      <c r="F75" s="14">
        <f>E75-C75</f>
        <v/>
      </c>
      <c r="G75" s="14">
        <f>E75-D75</f>
        <v/>
      </c>
      <c r="H75" s="31" t="n"/>
    </row>
    <row r="76">
      <c r="A76" s="11" t="inlineStr">
        <is>
          <t>54</t>
        </is>
      </c>
      <c r="B76" s="22" t="inlineStr">
        <is>
          <t xml:space="preserve">Xã Vĩnh Phước </t>
        </is>
      </c>
      <c r="C76" s="18" t="n"/>
      <c r="D76" s="18" t="n"/>
      <c r="E76" s="19" t="n"/>
      <c r="F76" s="14">
        <f>E76-C76</f>
        <v/>
      </c>
      <c r="G76" s="14">
        <f>E76-D76</f>
        <v/>
      </c>
      <c r="H76" s="31" t="n"/>
    </row>
    <row r="77">
      <c r="A77" s="11" t="inlineStr">
        <is>
          <t>55</t>
        </is>
      </c>
      <c r="B77" s="22" t="inlineStr">
        <is>
          <t>Xã Vĩnh Thanh</t>
        </is>
      </c>
      <c r="C77" s="18" t="n"/>
      <c r="D77" s="18" t="n"/>
      <c r="E77" s="19" t="n"/>
      <c r="F77" s="14">
        <f>E77-C77</f>
        <v/>
      </c>
      <c r="G77" s="14">
        <f>E77-D77</f>
        <v/>
      </c>
      <c r="H77" s="31" t="n"/>
    </row>
    <row r="78">
      <c r="A78" s="11" t="inlineStr">
        <is>
          <t>56</t>
        </is>
      </c>
      <c r="B78" s="22" t="inlineStr">
        <is>
          <t xml:space="preserve">Xã Phong Hiệp </t>
        </is>
      </c>
      <c r="C78" s="18" t="n"/>
      <c r="D78" s="18" t="n"/>
      <c r="E78" s="19" t="n"/>
      <c r="F78" s="14">
        <f>E78-C78</f>
        <v/>
      </c>
      <c r="G78" s="14">
        <f>E78-D78</f>
        <v/>
      </c>
      <c r="H78" s="31" t="n"/>
    </row>
    <row r="79">
      <c r="A79" s="11" t="inlineStr">
        <is>
          <t>57</t>
        </is>
      </c>
      <c r="B79" s="22" t="inlineStr">
        <is>
          <t xml:space="preserve">Xã Hưng Hội </t>
        </is>
      </c>
      <c r="C79" s="18" t="n"/>
      <c r="D79" s="18" t="n"/>
      <c r="E79" s="19" t="n"/>
      <c r="F79" s="14">
        <f>E79-C79</f>
        <v/>
      </c>
      <c r="G79" s="14">
        <f>E79-D79</f>
        <v/>
      </c>
      <c r="H79" s="31" t="n"/>
    </row>
    <row r="80">
      <c r="A80" s="11" t="inlineStr">
        <is>
          <t>58</t>
        </is>
      </c>
      <c r="B80" s="17" t="inlineStr">
        <is>
          <t>Xã Thanh Tùng</t>
        </is>
      </c>
      <c r="C80" s="18" t="n"/>
      <c r="D80" s="18" t="n"/>
      <c r="E80" s="19" t="n"/>
      <c r="F80" s="14">
        <f>E80-C80</f>
        <v/>
      </c>
      <c r="G80" s="14">
        <f>E80-D80</f>
        <v/>
      </c>
      <c r="H80" s="31" t="n"/>
    </row>
    <row r="81">
      <c r="A81" s="11" t="inlineStr">
        <is>
          <t>59</t>
        </is>
      </c>
      <c r="B81" s="17" t="inlineStr">
        <is>
          <t>Xã Đất Mới</t>
        </is>
      </c>
      <c r="C81" s="18" t="n"/>
      <c r="D81" s="18" t="n"/>
      <c r="E81" s="19" t="n"/>
      <c r="F81" s="14">
        <f>E81-C81</f>
        <v/>
      </c>
      <c r="G81" s="14">
        <f>E81-D81</f>
        <v/>
      </c>
      <c r="H81" s="31" t="n"/>
    </row>
    <row r="82">
      <c r="A82" s="11" t="inlineStr">
        <is>
          <t>60</t>
        </is>
      </c>
      <c r="B82" s="17" t="inlineStr">
        <is>
          <t>Xã Tam Giang</t>
        </is>
      </c>
      <c r="C82" s="18" t="n"/>
      <c r="D82" s="18" t="n"/>
      <c r="E82" s="19" t="n"/>
      <c r="F82" s="14">
        <f>E82-C82</f>
        <v/>
      </c>
      <c r="G82" s="14">
        <f>E82-D82</f>
        <v/>
      </c>
      <c r="H82" s="31" t="n"/>
    </row>
    <row r="83">
      <c r="A83" s="11" t="inlineStr">
        <is>
          <t>61</t>
        </is>
      </c>
      <c r="B83" s="17" t="inlineStr">
        <is>
          <t>Xã Phú Mỹ</t>
        </is>
      </c>
      <c r="C83" s="18" t="n"/>
      <c r="D83" s="18" t="n"/>
      <c r="E83" s="19" t="n"/>
      <c r="F83" s="14">
        <f>E83-C83</f>
        <v/>
      </c>
      <c r="G83" s="14">
        <f>E83-D83</f>
        <v/>
      </c>
      <c r="H83" s="31" t="n"/>
    </row>
    <row r="84">
      <c r="A84" s="11" t="inlineStr">
        <is>
          <t>62</t>
        </is>
      </c>
      <c r="B84" s="20" t="inlineStr">
        <is>
          <t>Xã Khánh An</t>
        </is>
      </c>
      <c r="C84" s="18" t="n"/>
      <c r="D84" s="18" t="n"/>
      <c r="E84" s="19" t="n"/>
      <c r="F84" s="14">
        <f>E84-C84</f>
        <v/>
      </c>
      <c r="G84" s="14">
        <f>E84-D84</f>
        <v/>
      </c>
      <c r="H84" s="31" t="n"/>
    </row>
    <row r="85">
      <c r="A85" s="11" t="inlineStr">
        <is>
          <t>63</t>
        </is>
      </c>
      <c r="B85" s="24" t="inlineStr">
        <is>
          <t>Xã Ninh Thạnh Lợi</t>
        </is>
      </c>
      <c r="C85" s="18" t="n"/>
      <c r="D85" s="18" t="n"/>
      <c r="E85" s="19" t="n"/>
      <c r="F85" s="14">
        <f>E85-C85</f>
        <v/>
      </c>
      <c r="G85" s="14">
        <f>E85-D85</f>
        <v/>
      </c>
      <c r="H85" s="31" t="n"/>
    </row>
    <row r="86">
      <c r="A86" s="11" t="inlineStr">
        <is>
          <t>64</t>
        </is>
      </c>
      <c r="B86" s="24" t="inlineStr">
        <is>
          <t>Xã Vĩnh Lộc</t>
        </is>
      </c>
      <c r="C86" s="18" t="n"/>
      <c r="D86" s="18" t="n"/>
      <c r="E86" s="19" t="n"/>
      <c r="F86" s="14">
        <f>E86-C86</f>
        <v/>
      </c>
      <c r="G86" s="14">
        <f>E86-D86</f>
        <v/>
      </c>
      <c r="H86" s="31" t="n"/>
    </row>
    <row r="87" ht="15.6" customFormat="1" customHeight="1" s="28">
      <c r="A87" s="25" t="inlineStr">
        <is>
          <t>III</t>
        </is>
      </c>
      <c r="B87" s="26" t="inlineStr">
        <is>
          <t>DỰ PHÒNG</t>
        </is>
      </c>
      <c r="C87" s="27" t="n"/>
      <c r="D87" s="27" t="n"/>
      <c r="E87" s="27" t="n"/>
      <c r="F87" s="27" t="n"/>
      <c r="G87" s="27" t="n"/>
      <c r="H87" s="10" t="n"/>
    </row>
  </sheetData>
  <mergeCells count="1">
    <mergeCell ref="A1:H1"/>
  </mergeCells>
  <printOptions horizontalCentered="1"/>
  <pageMargins left="0.4" right="0.22" top="0.54" bottom="0.37" header="0.51" footer="0.25"/>
  <pageSetup orientation="landscape" paperSize="9"/>
  <headerFooter differentFirst="1">
    <oddHeader>&amp;C&amp;P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2026-02-04T08:03:06Z</dcterms:created>
  <dcterms:modified xsi:type="dcterms:W3CDTF">2026-08-14T07:56:37Z</dcterms:modified>
  <cp:lastModifiedBy>Administrator</cp:lastModifiedBy>
  <cp:lastPrinted>2026-08-14T03:25:42Z</cp:lastPrinted>
</cp:coreProperties>
</file>